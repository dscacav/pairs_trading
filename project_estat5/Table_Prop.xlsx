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sianoa.cavalcanti/Insync/GoogleCass/Analytics/TCC/Code/project_estat5/"/>
    </mc:Choice>
  </mc:AlternateContent>
  <xr:revisionPtr revIDLastSave="0" documentId="13_ncr:1_{07C0FA9E-6CEF-284D-ADD8-1794FC80B0CE}" xr6:coauthVersionLast="47" xr6:coauthVersionMax="47" xr10:uidLastSave="{00000000-0000-0000-0000-000000000000}"/>
  <bookViews>
    <workbookView xWindow="58200" yWindow="500" windowWidth="26440" windowHeight="20020" activeTab="9" xr2:uid="{CD927B1F-4B9B-8749-AFA1-11A7463B5CE8}"/>
  </bookViews>
  <sheets>
    <sheet name="Prop" sheetId="1" r:id="rId1"/>
    <sheet name="summary_t1" sheetId="2" r:id="rId2"/>
    <sheet name="t1_corte" sheetId="5" r:id="rId3"/>
    <sheet name="t1_hyper" sheetId="8" r:id="rId4"/>
    <sheet name="summary_t2" sheetId="3" r:id="rId5"/>
    <sheet name="t2_corte" sheetId="6" r:id="rId6"/>
    <sheet name="t2_hyper" sheetId="9" r:id="rId7"/>
    <sheet name="summary_t3" sheetId="4" r:id="rId8"/>
    <sheet name="t3_corte" sheetId="7" r:id="rId9"/>
    <sheet name="t3_hype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8" l="1"/>
  <c r="O5" i="8"/>
  <c r="Q4" i="8"/>
  <c r="O4" i="8"/>
  <c r="Q3" i="8"/>
  <c r="O3" i="8"/>
  <c r="Q5" i="9"/>
  <c r="O5" i="9"/>
  <c r="Q4" i="9"/>
  <c r="O4" i="9"/>
  <c r="Q3" i="9"/>
  <c r="O3" i="9"/>
  <c r="Q6" i="10"/>
  <c r="O6" i="10"/>
  <c r="Q5" i="10"/>
  <c r="O5" i="10"/>
  <c r="Q4" i="10"/>
  <c r="O4" i="10"/>
  <c r="Q6" i="7"/>
  <c r="O6" i="7"/>
  <c r="Q5" i="7"/>
  <c r="O5" i="7"/>
  <c r="Q4" i="7"/>
  <c r="O4" i="7"/>
  <c r="Q5" i="6"/>
  <c r="O5" i="6"/>
  <c r="Q4" i="6"/>
  <c r="O4" i="6"/>
  <c r="Q3" i="6"/>
  <c r="O3" i="6"/>
  <c r="Q5" i="5"/>
  <c r="O5" i="5"/>
  <c r="Q4" i="5"/>
  <c r="O4" i="5"/>
  <c r="Q3" i="5"/>
  <c r="O3" i="5"/>
  <c r="G14" i="1"/>
  <c r="E14" i="1"/>
  <c r="G13" i="1"/>
  <c r="E13" i="1"/>
  <c r="G12" i="1"/>
  <c r="E12" i="1"/>
  <c r="G10" i="1"/>
  <c r="E10" i="1"/>
  <c r="G9" i="1"/>
  <c r="E9" i="1"/>
  <c r="G8" i="1"/>
  <c r="E8" i="1"/>
  <c r="G6" i="1"/>
  <c r="E6" i="1"/>
  <c r="G5" i="1"/>
  <c r="E5" i="1"/>
  <c r="G4" i="1"/>
  <c r="E4" i="1"/>
</calcChain>
</file>

<file path=xl/sharedStrings.xml><?xml version="1.0" encoding="utf-8"?>
<sst xmlns="http://schemas.openxmlformats.org/spreadsheetml/2006/main" count="953" uniqueCount="304">
  <si>
    <t>Completa</t>
  </si>
  <si>
    <t>Perda</t>
  </si>
  <si>
    <t>Lucro</t>
  </si>
  <si>
    <t>Treino</t>
  </si>
  <si>
    <t>Teste</t>
  </si>
  <si>
    <t>t1 = 250 dias</t>
  </si>
  <si>
    <t>t2 = 125 dias</t>
  </si>
  <si>
    <t>t3 = 50 dias</t>
  </si>
  <si>
    <t xml:space="preserve">ROC </t>
  </si>
  <si>
    <t>ROC</t>
  </si>
  <si>
    <t>Min.</t>
  </si>
  <si>
    <t>1st Qu.</t>
  </si>
  <si>
    <t>Median</t>
  </si>
  <si>
    <t>Mean</t>
  </si>
  <si>
    <t>3rd Qu.</t>
  </si>
  <si>
    <t>Max.</t>
  </si>
  <si>
    <t>NA's</t>
  </si>
  <si>
    <t>rf</t>
  </si>
  <si>
    <t>adaboost</t>
  </si>
  <si>
    <t>earth</t>
  </si>
  <si>
    <t>xgbDART</t>
  </si>
  <si>
    <t>svmRadial</t>
  </si>
  <si>
    <t>xgbTree</t>
  </si>
  <si>
    <t>knn</t>
  </si>
  <si>
    <t>nb</t>
  </si>
  <si>
    <t>naive_bayes</t>
  </si>
  <si>
    <t>gbm</t>
  </si>
  <si>
    <t>nnet</t>
  </si>
  <si>
    <t>C5.0</t>
  </si>
  <si>
    <t>rpart</t>
  </si>
  <si>
    <t xml:space="preserve">Sens </t>
  </si>
  <si>
    <t>Sens</t>
  </si>
  <si>
    <t xml:space="preserve">Spec </t>
  </si>
  <si>
    <t>Spec</t>
  </si>
  <si>
    <t>"rf"</t>
  </si>
  <si>
    <t>"adaboost"</t>
  </si>
  <si>
    <t>"earth"</t>
  </si>
  <si>
    <t>"xgbDART"</t>
  </si>
  <si>
    <t>"svmRadial"</t>
  </si>
  <si>
    <t>"xgbTree"</t>
  </si>
  <si>
    <t>"knn"</t>
  </si>
  <si>
    <t>"nb"</t>
  </si>
  <si>
    <t>"naive_bayes"</t>
  </si>
  <si>
    <t>"gbm"</t>
  </si>
  <si>
    <t>"nnet"</t>
  </si>
  <si>
    <t>"C5.0"</t>
  </si>
  <si>
    <t>"rpart"</t>
  </si>
  <si>
    <t>Esp</t>
  </si>
  <si>
    <t>Método</t>
  </si>
  <si>
    <t>AdaBoost Classification Trees</t>
  </si>
  <si>
    <t>CART</t>
  </si>
  <si>
    <t>k-Nearest Neighbors</t>
  </si>
  <si>
    <t>Multivariate Adaptive Regression Spline</t>
  </si>
  <si>
    <t>Neural Network</t>
  </si>
  <si>
    <t>Random Forest</t>
  </si>
  <si>
    <t>Stochastic Gradient Boosting</t>
  </si>
  <si>
    <t>eXtreme Gradient Boosting</t>
  </si>
  <si>
    <t>SVM with Radial Kernel</t>
  </si>
  <si>
    <t>Naive Bayes</t>
  </si>
  <si>
    <t xml:space="preserve"> </t>
  </si>
  <si>
    <t xml:space="preserve">                            </t>
  </si>
  <si>
    <t xml:space="preserve"> [0.158,0.438) </t>
  </si>
  <si>
    <t xml:space="preserve"> [0.438,0.504) </t>
  </si>
  <si>
    <t xml:space="preserve"> [0.504,0.552) </t>
  </si>
  <si>
    <t xml:space="preserve">  [0.552,0.59) </t>
  </si>
  <si>
    <t xml:space="preserve">  [0.59,0.626) </t>
  </si>
  <si>
    <t xml:space="preserve"> [0.626,0.662) </t>
  </si>
  <si>
    <t xml:space="preserve"> [0.662,0.696) </t>
  </si>
  <si>
    <t xml:space="preserve"> [0.696,0.736) </t>
  </si>
  <si>
    <t xml:space="preserve"> [0.736,0.784) </t>
  </si>
  <si>
    <t xml:space="preserve">  [0.784,0.94] </t>
  </si>
  <si>
    <t>Prob por Faixa</t>
  </si>
  <si>
    <t xml:space="preserve"> [0.205,0.448) </t>
  </si>
  <si>
    <t xml:space="preserve"> [0.448,0.518) </t>
  </si>
  <si>
    <t xml:space="preserve"> [0.518,0.564) </t>
  </si>
  <si>
    <t xml:space="preserve"> [0.564,0.602) </t>
  </si>
  <si>
    <t xml:space="preserve"> [0.602,0.634) </t>
  </si>
  <si>
    <t xml:space="preserve"> [0.634,0.664) </t>
  </si>
  <si>
    <t xml:space="preserve"> [0.664,0.692) </t>
  </si>
  <si>
    <t xml:space="preserve"> [0.692,0.721) </t>
  </si>
  <si>
    <t xml:space="preserve"> [0.721,0.757) </t>
  </si>
  <si>
    <t xml:space="preserve"> [0.757,0.923] </t>
  </si>
  <si>
    <t xml:space="preserve"> [0.231,0.477) </t>
  </si>
  <si>
    <t xml:space="preserve"> [0.477,0.536) </t>
  </si>
  <si>
    <t xml:space="preserve"> [0.536,0.576) </t>
  </si>
  <si>
    <t xml:space="preserve"> [0.576,0.604) </t>
  </si>
  <si>
    <t xml:space="preserve"> [0.604,0.631) </t>
  </si>
  <si>
    <t xml:space="preserve"> [0.631,0.654) </t>
  </si>
  <si>
    <t xml:space="preserve"> [0.654,0.678) </t>
  </si>
  <si>
    <t xml:space="preserve"> [0.678,0.701) </t>
  </si>
  <si>
    <t xml:space="preserve"> [0.701,0.731) </t>
  </si>
  <si>
    <t xml:space="preserve">  [0.731,0.87] </t>
  </si>
  <si>
    <t xml:space="preserve"> [0.0574,0.414) </t>
  </si>
  <si>
    <t xml:space="preserve">  [0.414,0.488) </t>
  </si>
  <si>
    <t xml:space="preserve">  [0.488,0.538) </t>
  </si>
  <si>
    <t xml:space="preserve">  [0.538,0.583) </t>
  </si>
  <si>
    <t xml:space="preserve">  [0.583,0.625) </t>
  </si>
  <si>
    <t xml:space="preserve">  [0.625,0.663) </t>
  </si>
  <si>
    <t xml:space="preserve">  [0.663,0.699) </t>
  </si>
  <si>
    <t xml:space="preserve">  [0.699,0.738) </t>
  </si>
  <si>
    <t xml:space="preserve">  [0.738,0.804) </t>
  </si>
  <si>
    <t xml:space="preserve">  [0.804,0.969] </t>
  </si>
  <si>
    <t xml:space="preserve"> [0.0918,0.396) </t>
  </si>
  <si>
    <t xml:space="preserve">  [0.396,0.487) </t>
  </si>
  <si>
    <t xml:space="preserve">  [0.487,0.548) </t>
  </si>
  <si>
    <t xml:space="preserve">    [0.548,0.6) </t>
  </si>
  <si>
    <t xml:space="preserve">     [0.6,0.64) </t>
  </si>
  <si>
    <t xml:space="preserve">    [0.64,0.68) </t>
  </si>
  <si>
    <t xml:space="preserve">   [0.68,0.715) </t>
  </si>
  <si>
    <t xml:space="preserve">  [0.715,0.753) </t>
  </si>
  <si>
    <t xml:space="preserve">    [0.753,0.8) </t>
  </si>
  <si>
    <t xml:space="preserve">    [0.8,0.971] </t>
  </si>
  <si>
    <t xml:space="preserve"> [0.131,0.476) </t>
  </si>
  <si>
    <t xml:space="preserve"> [0.476,0.566) </t>
  </si>
  <si>
    <t xml:space="preserve"> [0.566,0.618) </t>
  </si>
  <si>
    <t xml:space="preserve">  [0.618,0.65) </t>
  </si>
  <si>
    <t xml:space="preserve">  [0.65,0.668) </t>
  </si>
  <si>
    <t xml:space="preserve"> [0.668,0.679) </t>
  </si>
  <si>
    <t xml:space="preserve"> [0.679,0.688) </t>
  </si>
  <si>
    <t xml:space="preserve"> [0.688,0.695) </t>
  </si>
  <si>
    <t xml:space="preserve"> [0.695,0.705) </t>
  </si>
  <si>
    <t xml:space="preserve"> [0.705,0.778] </t>
  </si>
  <si>
    <t xml:space="preserve"> [0.174,0.472) </t>
  </si>
  <si>
    <t xml:space="preserve"> [0.472,0.538) </t>
  </si>
  <si>
    <t xml:space="preserve"> [0.538,0.586) </t>
  </si>
  <si>
    <t xml:space="preserve"> [0.586,0.624) </t>
  </si>
  <si>
    <t xml:space="preserve"> [0.624,0.658) </t>
  </si>
  <si>
    <t xml:space="preserve"> [0.658,0.688) </t>
  </si>
  <si>
    <t xml:space="preserve"> [0.688,0.716) </t>
  </si>
  <si>
    <t xml:space="preserve"> [0.716,0.748) </t>
  </si>
  <si>
    <t xml:space="preserve"> [0.748,0.786) </t>
  </si>
  <si>
    <t xml:space="preserve"> [0.786,0.932] </t>
  </si>
  <si>
    <t xml:space="preserve"> [0.0709,0.506) </t>
  </si>
  <si>
    <t xml:space="preserve">  [0.506,0.613) </t>
  </si>
  <si>
    <t xml:space="preserve">  [0.613,0.661) </t>
  </si>
  <si>
    <t xml:space="preserve">  [0.661,0.682) </t>
  </si>
  <si>
    <t xml:space="preserve">  [0.682,0.693) </t>
  </si>
  <si>
    <t xml:space="preserve">  [0.693,0.699) </t>
  </si>
  <si>
    <t xml:space="preserve">  [0.699,0.704) </t>
  </si>
  <si>
    <t xml:space="preserve">   [0.704,0.71) </t>
  </si>
  <si>
    <t xml:space="preserve">    [0.71,0.72) </t>
  </si>
  <si>
    <t xml:space="preserve">   [0.72,0.804] </t>
  </si>
  <si>
    <t xml:space="preserve"> [0.129,0.466) </t>
  </si>
  <si>
    <t xml:space="preserve"> [0.466,0.558) </t>
  </si>
  <si>
    <t xml:space="preserve"> [0.558,0.612) </t>
  </si>
  <si>
    <t xml:space="preserve"> [0.612,0.652) </t>
  </si>
  <si>
    <t xml:space="preserve"> [0.652,0.685) </t>
  </si>
  <si>
    <t xml:space="preserve"> [0.685,0.716) </t>
  </si>
  <si>
    <t xml:space="preserve"> [0.716,0.744) </t>
  </si>
  <si>
    <t xml:space="preserve"> [0.744,0.775) </t>
  </si>
  <si>
    <t xml:space="preserve"> [0.775,0.819) </t>
  </si>
  <si>
    <t xml:space="preserve"> [0.819,0.937] </t>
  </si>
  <si>
    <t xml:space="preserve"> [0.266,0.524) </t>
  </si>
  <si>
    <t xml:space="preserve"> [0.524,0.584) </t>
  </si>
  <si>
    <t xml:space="preserve"> [0.584,0.624) </t>
  </si>
  <si>
    <t xml:space="preserve">  [0.624,0.65) </t>
  </si>
  <si>
    <t xml:space="preserve">  [0.65,0.669) </t>
  </si>
  <si>
    <t xml:space="preserve"> [0.669,0.685) </t>
  </si>
  <si>
    <t xml:space="preserve">   [0.685,0.7) </t>
  </si>
  <si>
    <t xml:space="preserve">   [0.7,0.716) </t>
  </si>
  <si>
    <t xml:space="preserve"> [0.716,0.732) </t>
  </si>
  <si>
    <t xml:space="preserve"> [0.732,0.786] </t>
  </si>
  <si>
    <t xml:space="preserve"> [0.0994,0.465) </t>
  </si>
  <si>
    <t xml:space="preserve">  [0.465,0.554) </t>
  </si>
  <si>
    <t xml:space="preserve">  [0.554,0.609) </t>
  </si>
  <si>
    <t xml:space="preserve">  [0.609,0.648) </t>
  </si>
  <si>
    <t xml:space="preserve">  [0.648,0.683) </t>
  </si>
  <si>
    <t xml:space="preserve">  [0.683,0.711) </t>
  </si>
  <si>
    <t xml:space="preserve">  [0.711,0.737) </t>
  </si>
  <si>
    <t xml:space="preserve">  [0.737,0.763) </t>
  </si>
  <si>
    <t xml:space="preserve">  [0.763,0.794) </t>
  </si>
  <si>
    <t xml:space="preserve">  [0.794,0.937] </t>
  </si>
  <si>
    <t xml:space="preserve"> [0.479,0.556) </t>
  </si>
  <si>
    <t xml:space="preserve">  [0.556,0.61) </t>
  </si>
  <si>
    <t xml:space="preserve">  [0.61,0.649) </t>
  </si>
  <si>
    <t xml:space="preserve"> [0.649,0.679) </t>
  </si>
  <si>
    <t xml:space="preserve"> [0.679,0.703) </t>
  </si>
  <si>
    <t xml:space="preserve"> [0.703,0.725) </t>
  </si>
  <si>
    <t xml:space="preserve"> [0.725,0.747) </t>
  </si>
  <si>
    <t xml:space="preserve"> [0.747,0.772) </t>
  </si>
  <si>
    <t xml:space="preserve"> [0.772,0.876] </t>
  </si>
  <si>
    <t xml:space="preserve"> [0.127,0.479) </t>
  </si>
  <si>
    <t xml:space="preserve">  [0.24,0.536) </t>
  </si>
  <si>
    <t xml:space="preserve">  [0.536,0.59) </t>
  </si>
  <si>
    <t xml:space="preserve">  [0.59,0.628) </t>
  </si>
  <si>
    <t xml:space="preserve"> [0.628,0.656) </t>
  </si>
  <si>
    <t xml:space="preserve">  [0.656,0.68) </t>
  </si>
  <si>
    <t xml:space="preserve">  [0.68,0.704) </t>
  </si>
  <si>
    <t xml:space="preserve">  [0.704,0.73) </t>
  </si>
  <si>
    <t xml:space="preserve">   [0.73,0.76) </t>
  </si>
  <si>
    <t xml:space="preserve">  [0.76,0.796) </t>
  </si>
  <si>
    <t xml:space="preserve"> [0.796,0.928] </t>
  </si>
  <si>
    <t xml:space="preserve">  [0.331,0.59) </t>
  </si>
  <si>
    <t xml:space="preserve">  [0.59,0.629) </t>
  </si>
  <si>
    <t xml:space="preserve"> [0.629,0.652) </t>
  </si>
  <si>
    <t xml:space="preserve">  [0.652,0.67) </t>
  </si>
  <si>
    <t xml:space="preserve">  [0.67,0.689) </t>
  </si>
  <si>
    <t xml:space="preserve"> [0.689,0.704) </t>
  </si>
  <si>
    <t xml:space="preserve"> [0.704,0.715) </t>
  </si>
  <si>
    <t xml:space="preserve"> [0.715,0.726) </t>
  </si>
  <si>
    <t xml:space="preserve">  [0.726,0.74) </t>
  </si>
  <si>
    <t xml:space="preserve">  [0.74,0.825] </t>
  </si>
  <si>
    <t xml:space="preserve"> [0.292,0.577) </t>
  </si>
  <si>
    <t xml:space="preserve"> [0.577,0.624) </t>
  </si>
  <si>
    <t xml:space="preserve"> [0.624,0.654) </t>
  </si>
  <si>
    <t xml:space="preserve"> [0.654,0.677) </t>
  </si>
  <si>
    <t xml:space="preserve"> [0.677,0.696) </t>
  </si>
  <si>
    <t xml:space="preserve"> [0.696,0.712) </t>
  </si>
  <si>
    <t xml:space="preserve"> [0.712,0.726) </t>
  </si>
  <si>
    <t xml:space="preserve"> [0.726,0.739) </t>
  </si>
  <si>
    <t xml:space="preserve"> [0.739,0.755) </t>
  </si>
  <si>
    <t xml:space="preserve"> [0.755,0.827] </t>
  </si>
  <si>
    <t xml:space="preserve"> [0.233,0.568) </t>
  </si>
  <si>
    <t xml:space="preserve"> [0.568,0.615) </t>
  </si>
  <si>
    <t xml:space="preserve"> [0.615,0.647) </t>
  </si>
  <si>
    <t xml:space="preserve"> [0.647,0.672) </t>
  </si>
  <si>
    <t xml:space="preserve"> [0.672,0.693) </t>
  </si>
  <si>
    <t xml:space="preserve"> [0.693,0.712) </t>
  </si>
  <si>
    <t xml:space="preserve"> [0.712,0.729) </t>
  </si>
  <si>
    <t xml:space="preserve"> [0.729,0.748) </t>
  </si>
  <si>
    <t xml:space="preserve"> [0.748,0.773) </t>
  </si>
  <si>
    <t xml:space="preserve"> [0.773,0.884] </t>
  </si>
  <si>
    <t xml:space="preserve"> [0.424,0.557) </t>
  </si>
  <si>
    <t xml:space="preserve"> [0.557,0.613) </t>
  </si>
  <si>
    <t xml:space="preserve"> [0.613,0.645) </t>
  </si>
  <si>
    <t xml:space="preserve"> [0.645,0.645) </t>
  </si>
  <si>
    <t xml:space="preserve"> [0.645,0.711) </t>
  </si>
  <si>
    <t xml:space="preserve"> [0.711,0.753) </t>
  </si>
  <si>
    <t xml:space="preserve"> [0.753,0.756) </t>
  </si>
  <si>
    <t xml:space="preserve"> [0.756,0.756) </t>
  </si>
  <si>
    <t xml:space="preserve"> [0.756,1]</t>
  </si>
  <si>
    <t xml:space="preserve"> [0.377,0.577) </t>
  </si>
  <si>
    <t xml:space="preserve"> [0.577,0.622) </t>
  </si>
  <si>
    <t xml:space="preserve"> [0.622,0.654) </t>
  </si>
  <si>
    <t xml:space="preserve">  [0.654,0.68) </t>
  </si>
  <si>
    <t xml:space="preserve">  [0.68,0.699) </t>
  </si>
  <si>
    <t xml:space="preserve"> [0.699,0.715) </t>
  </si>
  <si>
    <t xml:space="preserve"> [0.715,0.728) </t>
  </si>
  <si>
    <t xml:space="preserve">  [0.728,0.74) </t>
  </si>
  <si>
    <t xml:space="preserve">  [0.74,0.754) </t>
  </si>
  <si>
    <t xml:space="preserve">     [0.754,1] </t>
  </si>
  <si>
    <t xml:space="preserve"> [0.0499,0.422) </t>
  </si>
  <si>
    <t xml:space="preserve">  [0.422,0.503) </t>
  </si>
  <si>
    <t xml:space="preserve">  [0.503,0.554) </t>
  </si>
  <si>
    <t xml:space="preserve">  [0.554,0.597) </t>
  </si>
  <si>
    <t xml:space="preserve">  [0.597,0.635) </t>
  </si>
  <si>
    <t xml:space="preserve">  [0.635,0.669) </t>
  </si>
  <si>
    <t xml:space="preserve">  [0.669,0.709) </t>
  </si>
  <si>
    <t xml:space="preserve">  [0.709,0.763) </t>
  </si>
  <si>
    <t xml:space="preserve">  [0.763,0.843) </t>
  </si>
  <si>
    <t xml:space="preserve">  [0.843,0.956] </t>
  </si>
  <si>
    <t xml:space="preserve"> [0.0726,0.382) </t>
  </si>
  <si>
    <t xml:space="preserve">   [0.382,0.47) </t>
  </si>
  <si>
    <t xml:space="preserve">   [0.47,0.542) </t>
  </si>
  <si>
    <t xml:space="preserve">    [0.542,0.6) </t>
  </si>
  <si>
    <t xml:space="preserve">    [0.6,0.652) </t>
  </si>
  <si>
    <t xml:space="preserve">  [0.652,0.698) </t>
  </si>
  <si>
    <t xml:space="preserve">  [0.698,0.747) </t>
  </si>
  <si>
    <t xml:space="preserve">  [0.747,0.794) </t>
  </si>
  <si>
    <t xml:space="preserve">  [0.794,0.841) </t>
  </si>
  <si>
    <t xml:space="preserve">  [0.841,0.947] </t>
  </si>
  <si>
    <t xml:space="preserve"> [0.149,0.491) </t>
  </si>
  <si>
    <t xml:space="preserve"> [0.491,0.564) </t>
  </si>
  <si>
    <t xml:space="preserve"> [0.564,0.616) </t>
  </si>
  <si>
    <t xml:space="preserve"> [0.616,0.654) </t>
  </si>
  <si>
    <t xml:space="preserve">  [0.68,0.702) </t>
  </si>
  <si>
    <t xml:space="preserve"> [0.702,0.722) </t>
  </si>
  <si>
    <t xml:space="preserve"> [0.722,0.743) </t>
  </si>
  <si>
    <t xml:space="preserve"> [0.743,0.766) </t>
  </si>
  <si>
    <t xml:space="preserve"> [0.766,0.868] </t>
  </si>
  <si>
    <t xml:space="preserve"> [0.0987,0.449) </t>
  </si>
  <si>
    <t xml:space="preserve">  [0.449,0.542) </t>
  </si>
  <si>
    <t xml:space="preserve">  [0.542,0.608) </t>
  </si>
  <si>
    <t xml:space="preserve">  [0.608,0.657) </t>
  </si>
  <si>
    <t xml:space="preserve">  [0.657,0.697) </t>
  </si>
  <si>
    <t xml:space="preserve">  [0.697,0.731) </t>
  </si>
  <si>
    <t xml:space="preserve">  [0.731,0.764) </t>
  </si>
  <si>
    <t xml:space="preserve">  [0.764,0.797) </t>
  </si>
  <si>
    <t xml:space="preserve">  [0.797,0.833) </t>
  </si>
  <si>
    <t xml:space="preserve">  [0.833,0.935] </t>
  </si>
  <si>
    <t xml:space="preserve"> [0.336,0.584) </t>
  </si>
  <si>
    <t xml:space="preserve"> [0.584,0.626) </t>
  </si>
  <si>
    <t xml:space="preserve"> [0.626,0.656) </t>
  </si>
  <si>
    <t xml:space="preserve"> [0.656,0.676) </t>
  </si>
  <si>
    <t xml:space="preserve"> [0.676,0.692) </t>
  </si>
  <si>
    <t xml:space="preserve"> [0.692,0.708) </t>
  </si>
  <si>
    <t xml:space="preserve"> [0.708,0.721) </t>
  </si>
  <si>
    <t xml:space="preserve"> [0.721,0.735) </t>
  </si>
  <si>
    <t xml:space="preserve"> [0.735,0.751) </t>
  </si>
  <si>
    <t xml:space="preserve"> [0.751,0.797] </t>
  </si>
  <si>
    <t xml:space="preserve"> [0.164,0.525) </t>
  </si>
  <si>
    <t xml:space="preserve">   [0.525,0.6) </t>
  </si>
  <si>
    <t xml:space="preserve">   [0.6,0.646) </t>
  </si>
  <si>
    <t xml:space="preserve"> [0.646,0.683) </t>
  </si>
  <si>
    <t xml:space="preserve"> [0.683,0.715) </t>
  </si>
  <si>
    <t xml:space="preserve"> [0.715,0.743) </t>
  </si>
  <si>
    <t xml:space="preserve"> [0.743,0.769) </t>
  </si>
  <si>
    <t xml:space="preserve"> [0.769,0.798) </t>
  </si>
  <si>
    <t xml:space="preserve"> [0.798,0.833) </t>
  </si>
  <si>
    <t xml:space="preserve"> [0.833,0.934] </t>
  </si>
  <si>
    <t>Total de Casos</t>
  </si>
  <si>
    <t>nnet hiper parâmetros</t>
  </si>
  <si>
    <t>xgbTree hiper parâmetros</t>
  </si>
  <si>
    <t>gbm hiper parâmetros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</si>
</sst>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12"/>
      <color rgb="FF000000"/>
      <name val="Monaco"/>
      <family val="3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color theme="1" tint="0.249977111117893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color rgb="FF003C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3C5BD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rgb="FF13C5BD"/>
      </left>
      <right/>
      <top style="medium">
        <color rgb="FF13C5BD"/>
      </top>
      <bottom/>
      <diagonal/>
    </border>
    <border>
      <left/>
      <right/>
      <top style="medium">
        <color rgb="FF13C5BD"/>
      </top>
      <bottom/>
      <diagonal/>
    </border>
    <border>
      <left/>
      <right style="medium">
        <color rgb="FF13C5BD"/>
      </right>
      <top style="medium">
        <color rgb="FF13C5BD"/>
      </top>
      <bottom/>
      <diagonal/>
    </border>
    <border>
      <left style="medium">
        <color rgb="FF13C5BD"/>
      </left>
      <right/>
      <top/>
      <bottom/>
      <diagonal/>
    </border>
    <border>
      <left/>
      <right style="medium">
        <color rgb="FF13C5BD"/>
      </right>
      <top/>
      <bottom/>
      <diagonal/>
    </border>
    <border>
      <left style="medium">
        <color rgb="FF13C5BD"/>
      </left>
      <right/>
      <top/>
      <bottom style="medium">
        <color rgb="FF13C5BD"/>
      </bottom>
      <diagonal/>
    </border>
    <border>
      <left/>
      <right/>
      <top/>
      <bottom style="medium">
        <color rgb="FF13C5BD"/>
      </bottom>
      <diagonal/>
    </border>
    <border>
      <left/>
      <right style="medium">
        <color rgb="FF13C5BD"/>
      </right>
      <top/>
      <bottom style="medium">
        <color rgb="FF13C5BD"/>
      </bottom>
      <diagonal/>
    </border>
    <border>
      <left/>
      <right/>
      <top style="thin">
        <color rgb="FF13C5BD"/>
      </top>
      <bottom style="thin">
        <color rgb="FF13C5BD"/>
      </bottom>
      <diagonal/>
    </border>
    <border>
      <left style="medium">
        <color rgb="FF13C5BD"/>
      </left>
      <right/>
      <top style="medium">
        <color rgb="FF13C5BD"/>
      </top>
      <bottom style="medium">
        <color rgb="FF13C5BD"/>
      </bottom>
      <diagonal/>
    </border>
    <border>
      <left/>
      <right/>
      <top style="medium">
        <color rgb="FF13C5BD"/>
      </top>
      <bottom style="medium">
        <color rgb="FF13C5BD"/>
      </bottom>
      <diagonal/>
    </border>
    <border>
      <left/>
      <right style="medium">
        <color rgb="FF13C5BD"/>
      </right>
      <top style="medium">
        <color rgb="FF13C5BD"/>
      </top>
      <bottom style="medium">
        <color rgb="FF13C5BD"/>
      </bottom>
      <diagonal/>
    </border>
    <border>
      <left style="medium">
        <color rgb="FF13C5BD"/>
      </left>
      <right/>
      <top style="thin">
        <color rgb="FF13C5BD"/>
      </top>
      <bottom style="thin">
        <color rgb="FF13C5BD"/>
      </bottom>
      <diagonal/>
    </border>
    <border>
      <left/>
      <right style="medium">
        <color rgb="FF13C5BD"/>
      </right>
      <top style="thin">
        <color rgb="FF13C5BD"/>
      </top>
      <bottom style="thin">
        <color rgb="FF13C5BD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165" fontId="0" fillId="0" borderId="0" xfId="1" applyNumberFormat="1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165" fontId="3" fillId="0" borderId="2" xfId="1" applyNumberFormat="1" applyFont="1" applyBorder="1" applyAlignment="1">
      <alignment horizontal="right"/>
    </xf>
    <xf numFmtId="164" fontId="3" fillId="0" borderId="2" xfId="2" applyNumberFormat="1" applyFont="1" applyBorder="1" applyAlignment="1">
      <alignment horizontal="right"/>
    </xf>
    <xf numFmtId="164" fontId="3" fillId="0" borderId="3" xfId="2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165" fontId="3" fillId="3" borderId="0" xfId="1" applyNumberFormat="1" applyFont="1" applyFill="1" applyBorder="1" applyAlignment="1">
      <alignment horizontal="right"/>
    </xf>
    <xf numFmtId="164" fontId="3" fillId="3" borderId="0" xfId="2" applyNumberFormat="1" applyFont="1" applyFill="1" applyBorder="1" applyAlignment="1">
      <alignment horizontal="right"/>
    </xf>
    <xf numFmtId="164" fontId="3" fillId="3" borderId="5" xfId="2" applyNumberFormat="1" applyFont="1" applyFill="1" applyBorder="1" applyAlignment="1">
      <alignment horizontal="right"/>
    </xf>
    <xf numFmtId="0" fontId="0" fillId="0" borderId="6" xfId="0" applyBorder="1" applyAlignment="1">
      <alignment horizontal="left"/>
    </xf>
    <xf numFmtId="165" fontId="3" fillId="0" borderId="7" xfId="1" applyNumberFormat="1" applyFont="1" applyBorder="1" applyAlignment="1">
      <alignment horizontal="right"/>
    </xf>
    <xf numFmtId="164" fontId="3" fillId="0" borderId="7" xfId="2" applyNumberFormat="1" applyFont="1" applyBorder="1" applyAlignment="1">
      <alignment horizontal="right"/>
    </xf>
    <xf numFmtId="164" fontId="3" fillId="0" borderId="8" xfId="2" applyNumberFormat="1" applyFont="1" applyBorder="1" applyAlignment="1">
      <alignment horizontal="right"/>
    </xf>
    <xf numFmtId="0" fontId="4" fillId="0" borderId="2" xfId="0" applyFont="1" applyBorder="1"/>
    <xf numFmtId="0" fontId="4" fillId="3" borderId="0" xfId="0" applyFont="1" applyFill="1" applyBorder="1"/>
    <xf numFmtId="0" fontId="4" fillId="0" borderId="7" xfId="0" applyFont="1" applyBorder="1"/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/>
    </xf>
    <xf numFmtId="0" fontId="7" fillId="0" borderId="0" xfId="0" applyFont="1"/>
    <xf numFmtId="0" fontId="6" fillId="2" borderId="0" xfId="0" applyFont="1" applyFill="1" applyAlignment="1">
      <alignment horizontal="center" vertical="center"/>
    </xf>
    <xf numFmtId="0" fontId="8" fillId="0" borderId="0" xfId="0" applyFont="1"/>
    <xf numFmtId="2" fontId="8" fillId="0" borderId="0" xfId="0" applyNumberFormat="1" applyFont="1"/>
    <xf numFmtId="0" fontId="8" fillId="0" borderId="9" xfId="0" applyFont="1" applyBorder="1"/>
    <xf numFmtId="2" fontId="8" fillId="0" borderId="9" xfId="0" applyNumberFormat="1" applyFont="1" applyBorder="1"/>
    <xf numFmtId="0" fontId="9" fillId="0" borderId="0" xfId="0" applyFont="1"/>
    <xf numFmtId="0" fontId="8" fillId="0" borderId="9" xfId="0" applyFont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6" fillId="2" borderId="1" xfId="0" applyFont="1" applyFill="1" applyBorder="1" applyAlignment="1">
      <alignment horizontal="left" vertical="center"/>
    </xf>
    <xf numFmtId="0" fontId="8" fillId="0" borderId="4" xfId="0" applyFont="1" applyBorder="1"/>
    <xf numFmtId="0" fontId="8" fillId="0" borderId="13" xfId="0" applyFont="1" applyBorder="1"/>
    <xf numFmtId="0" fontId="6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2" fontId="8" fillId="0" borderId="14" xfId="0" applyNumberFormat="1" applyFont="1" applyBorder="1" applyAlignment="1">
      <alignment horizontal="center"/>
    </xf>
    <xf numFmtId="165" fontId="6" fillId="2" borderId="7" xfId="1" applyNumberFormat="1" applyFont="1" applyFill="1" applyBorder="1" applyAlignment="1">
      <alignment horizontal="center"/>
    </xf>
    <xf numFmtId="165" fontId="6" fillId="2" borderId="8" xfId="1" applyNumberFormat="1" applyFont="1" applyFill="1" applyBorder="1" applyAlignment="1">
      <alignment horizontal="center"/>
    </xf>
    <xf numFmtId="0" fontId="11" fillId="0" borderId="13" xfId="0" applyFont="1" applyBorder="1"/>
    <xf numFmtId="2" fontId="11" fillId="0" borderId="9" xfId="0" applyNumberFormat="1" applyFont="1" applyBorder="1" applyAlignment="1">
      <alignment horizontal="center"/>
    </xf>
    <xf numFmtId="2" fontId="11" fillId="0" borderId="14" xfId="0" applyNumberFormat="1" applyFont="1" applyBorder="1" applyAlignment="1">
      <alignment horizontal="center"/>
    </xf>
    <xf numFmtId="0" fontId="12" fillId="0" borderId="13" xfId="0" applyFont="1" applyBorder="1"/>
    <xf numFmtId="2" fontId="12" fillId="0" borderId="9" xfId="0" applyNumberFormat="1" applyFont="1" applyBorder="1" applyAlignment="1">
      <alignment horizontal="center"/>
    </xf>
    <xf numFmtId="2" fontId="12" fillId="0" borderId="14" xfId="0" applyNumberFormat="1" applyFont="1" applyBorder="1" applyAlignment="1">
      <alignment horizontal="center"/>
    </xf>
    <xf numFmtId="164" fontId="10" fillId="0" borderId="7" xfId="2" applyNumberFormat="1" applyFont="1" applyBorder="1" applyAlignment="1">
      <alignment horizontal="right"/>
    </xf>
    <xf numFmtId="164" fontId="10" fillId="0" borderId="8" xfId="2" applyNumberFormat="1" applyFont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3CFF"/>
      <color rgb="FF13C5BD"/>
      <color rgb="FF98E8EA"/>
      <color rgb="FF84C5C4"/>
      <color rgb="FF18FF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2512-0264-BF43-B2E2-32E88706F1EF}">
  <dimension ref="B3:G14"/>
  <sheetViews>
    <sheetView showGridLines="0" workbookViewId="0"/>
  </sheetViews>
  <sheetFormatPr baseColWidth="10" defaultRowHeight="16" x14ac:dyDescent="0.2"/>
  <cols>
    <col min="1" max="1" width="2.6640625" customWidth="1"/>
    <col min="2" max="2" width="13.83203125" customWidth="1"/>
  </cols>
  <sheetData>
    <row r="3" spans="2:7" ht="17" thickBot="1" x14ac:dyDescent="0.25">
      <c r="C3" s="2"/>
      <c r="D3" s="3" t="s">
        <v>1</v>
      </c>
      <c r="E3" s="3"/>
      <c r="F3" s="3" t="s">
        <v>2</v>
      </c>
      <c r="G3" s="3"/>
    </row>
    <row r="4" spans="2:7" x14ac:dyDescent="0.2">
      <c r="B4" s="5"/>
      <c r="C4" s="17" t="s">
        <v>0</v>
      </c>
      <c r="D4" s="6">
        <v>3454</v>
      </c>
      <c r="E4" s="7">
        <f>D4/(D4+F4)</f>
        <v>0.32289426942133309</v>
      </c>
      <c r="F4" s="6">
        <v>7243</v>
      </c>
      <c r="G4" s="8">
        <f>F4/(D4+F4)</f>
        <v>0.67710573057866696</v>
      </c>
    </row>
    <row r="5" spans="2:7" x14ac:dyDescent="0.2">
      <c r="B5" s="9" t="s">
        <v>5</v>
      </c>
      <c r="C5" s="18" t="s">
        <v>3</v>
      </c>
      <c r="D5" s="10">
        <v>1395</v>
      </c>
      <c r="E5" s="11">
        <f>D5/(D5+F5)</f>
        <v>0.38642659279778391</v>
      </c>
      <c r="F5" s="10">
        <v>2215</v>
      </c>
      <c r="G5" s="12">
        <f>F5/(D5+F5)</f>
        <v>0.61357340720221609</v>
      </c>
    </row>
    <row r="6" spans="2:7" ht="17" thickBot="1" x14ac:dyDescent="0.25">
      <c r="B6" s="13"/>
      <c r="C6" s="19" t="s">
        <v>4</v>
      </c>
      <c r="D6" s="14">
        <v>2059</v>
      </c>
      <c r="E6" s="15">
        <f>D6/(D6+F6)</f>
        <v>0.29053195992662623</v>
      </c>
      <c r="F6" s="14">
        <v>5028</v>
      </c>
      <c r="G6" s="16">
        <f>F6/(D6+F6)</f>
        <v>0.70946804007337383</v>
      </c>
    </row>
    <row r="7" spans="2:7" ht="6" customHeight="1" thickBot="1" x14ac:dyDescent="0.25">
      <c r="B7" s="4"/>
      <c r="D7" s="1"/>
      <c r="F7" s="1"/>
    </row>
    <row r="8" spans="2:7" x14ac:dyDescent="0.2">
      <c r="B8" s="5"/>
      <c r="C8" s="17" t="s">
        <v>0</v>
      </c>
      <c r="D8" s="6">
        <v>5921</v>
      </c>
      <c r="E8" s="7">
        <f>D8/(D8+F8)</f>
        <v>0.34833509824685255</v>
      </c>
      <c r="F8" s="6">
        <v>11077</v>
      </c>
      <c r="G8" s="8">
        <f>F8/(D8+F8)</f>
        <v>0.6516649017531474</v>
      </c>
    </row>
    <row r="9" spans="2:7" x14ac:dyDescent="0.2">
      <c r="B9" s="9" t="s">
        <v>6</v>
      </c>
      <c r="C9" s="18" t="s">
        <v>3</v>
      </c>
      <c r="D9" s="10">
        <v>1854</v>
      </c>
      <c r="E9" s="11">
        <f>D9/(D9+F9)</f>
        <v>0.36210937500000001</v>
      </c>
      <c r="F9" s="10">
        <v>3266</v>
      </c>
      <c r="G9" s="12">
        <f>F9/(D9+F9)</f>
        <v>0.63789062500000004</v>
      </c>
    </row>
    <row r="10" spans="2:7" ht="17" thickBot="1" x14ac:dyDescent="0.25">
      <c r="B10" s="13"/>
      <c r="C10" s="19" t="s">
        <v>4</v>
      </c>
      <c r="D10" s="14">
        <v>4067</v>
      </c>
      <c r="E10" s="15">
        <f>D10/(D10+F10)</f>
        <v>0.34239771005219732</v>
      </c>
      <c r="F10" s="14">
        <v>7811</v>
      </c>
      <c r="G10" s="16">
        <f>F10/(D10+F10)</f>
        <v>0.65760228994780268</v>
      </c>
    </row>
    <row r="11" spans="2:7" ht="6" customHeight="1" thickBot="1" x14ac:dyDescent="0.25">
      <c r="B11" s="4"/>
      <c r="D11" s="1"/>
      <c r="F11" s="1"/>
    </row>
    <row r="12" spans="2:7" x14ac:dyDescent="0.2">
      <c r="B12" s="5"/>
      <c r="C12" s="17" t="s">
        <v>0</v>
      </c>
      <c r="D12" s="6">
        <v>5618</v>
      </c>
      <c r="E12" s="7">
        <f>D12/(D12+F12)</f>
        <v>0.31060983026483108</v>
      </c>
      <c r="F12" s="6">
        <v>12469</v>
      </c>
      <c r="G12" s="8">
        <f>F12/(D12+F12)</f>
        <v>0.68939016973516887</v>
      </c>
    </row>
    <row r="13" spans="2:7" x14ac:dyDescent="0.2">
      <c r="B13" s="9" t="s">
        <v>7</v>
      </c>
      <c r="C13" s="18" t="s">
        <v>3</v>
      </c>
      <c r="D13" s="10">
        <v>1913</v>
      </c>
      <c r="E13" s="11">
        <f>D13/(D13+F13)</f>
        <v>0.32539547542098995</v>
      </c>
      <c r="F13" s="10">
        <v>3966</v>
      </c>
      <c r="G13" s="12">
        <f>F13/(D13+F13)</f>
        <v>0.67460452457900999</v>
      </c>
    </row>
    <row r="14" spans="2:7" ht="17" thickBot="1" x14ac:dyDescent="0.25">
      <c r="B14" s="13"/>
      <c r="C14" s="19" t="s">
        <v>4</v>
      </c>
      <c r="D14" s="14">
        <v>3705</v>
      </c>
      <c r="E14" s="15">
        <f>D14/(D14+F14)</f>
        <v>0.30348951507208388</v>
      </c>
      <c r="F14" s="14">
        <v>8503</v>
      </c>
      <c r="G14" s="16">
        <f>F14/(D14+F14)</f>
        <v>0.69651048492791612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BBF3-ECCA-094A-8886-7C5C28BF2831}">
  <dimension ref="B2:O45"/>
  <sheetViews>
    <sheetView showGridLines="0" workbookViewId="0"/>
  </sheetViews>
  <sheetFormatPr baseColWidth="10" defaultRowHeight="16" x14ac:dyDescent="0.2"/>
  <cols>
    <col min="1" max="1" width="2.83203125" style="23" customWidth="1"/>
    <col min="2" max="2" width="14" style="23" bestFit="1" customWidth="1"/>
    <col min="3" max="10" width="10.83203125" style="23"/>
    <col min="11" max="11" width="34.5" style="23" bestFit="1" customWidth="1"/>
    <col min="12" max="13" width="10.83203125" style="23"/>
    <col min="14" max="14" width="11" style="23" customWidth="1"/>
    <col min="15" max="15" width="14.1640625" style="23" customWidth="1"/>
    <col min="16" max="16384" width="10.83203125" style="23"/>
  </cols>
  <sheetData>
    <row r="2" spans="2:15" x14ac:dyDescent="0.2">
      <c r="B2" s="21" t="s">
        <v>9</v>
      </c>
      <c r="C2" s="22" t="s">
        <v>10</v>
      </c>
      <c r="D2" s="22" t="s">
        <v>11</v>
      </c>
      <c r="E2" s="22" t="s">
        <v>12</v>
      </c>
      <c r="F2" s="22" t="s">
        <v>13</v>
      </c>
      <c r="G2" s="22" t="s">
        <v>14</v>
      </c>
      <c r="H2" s="22" t="s">
        <v>15</v>
      </c>
      <c r="I2" s="22" t="s">
        <v>16</v>
      </c>
      <c r="K2" s="21" t="s">
        <v>5</v>
      </c>
      <c r="L2" s="24" t="s">
        <v>9</v>
      </c>
      <c r="M2" s="24" t="s">
        <v>31</v>
      </c>
      <c r="N2" s="24" t="s">
        <v>47</v>
      </c>
      <c r="O2" s="24" t="s">
        <v>48</v>
      </c>
    </row>
    <row r="3" spans="2:15" x14ac:dyDescent="0.2">
      <c r="B3" s="25" t="s">
        <v>17</v>
      </c>
      <c r="C3" s="26">
        <v>0.59323349999999997</v>
      </c>
      <c r="D3" s="26">
        <v>0.63128640000000003</v>
      </c>
      <c r="E3" s="26">
        <v>0.65379149999999997</v>
      </c>
      <c r="F3" s="26">
        <v>0.65252299999999996</v>
      </c>
      <c r="G3" s="26">
        <v>0.67397019999999996</v>
      </c>
      <c r="H3" s="26">
        <v>0.70575310000000002</v>
      </c>
      <c r="I3" s="25">
        <v>0</v>
      </c>
      <c r="K3" s="27" t="s">
        <v>54</v>
      </c>
      <c r="L3" s="28">
        <v>0.65252299999999996</v>
      </c>
      <c r="M3" s="28">
        <v>0.34599350000000001</v>
      </c>
      <c r="N3" s="28">
        <v>0.83492250000000001</v>
      </c>
      <c r="O3" s="30" t="s">
        <v>34</v>
      </c>
    </row>
    <row r="4" spans="2:15" x14ac:dyDescent="0.2">
      <c r="B4" s="27" t="s">
        <v>18</v>
      </c>
      <c r="C4" s="28">
        <v>0.54867460000000001</v>
      </c>
      <c r="D4" s="28">
        <v>0.60265489999999999</v>
      </c>
      <c r="E4" s="28">
        <v>0.6248901</v>
      </c>
      <c r="F4" s="28">
        <v>0.62473730000000005</v>
      </c>
      <c r="G4" s="28">
        <v>0.64937310000000004</v>
      </c>
      <c r="H4" s="28">
        <v>0.68102779999999996</v>
      </c>
      <c r="I4" s="27">
        <v>0</v>
      </c>
      <c r="K4" s="27" t="s">
        <v>49</v>
      </c>
      <c r="L4" s="28">
        <v>0.62473730000000005</v>
      </c>
      <c r="M4" s="28">
        <v>0.39424629999999999</v>
      </c>
      <c r="N4" s="28">
        <v>0.76540229999999998</v>
      </c>
      <c r="O4" s="30" t="s">
        <v>35</v>
      </c>
    </row>
    <row r="5" spans="2:15" x14ac:dyDescent="0.2">
      <c r="B5" s="27" t="s">
        <v>19</v>
      </c>
      <c r="C5" s="28">
        <v>0.54887390000000003</v>
      </c>
      <c r="D5" s="28">
        <v>0.58329010000000003</v>
      </c>
      <c r="E5" s="28">
        <v>0.6016146</v>
      </c>
      <c r="F5" s="28">
        <v>0.59939509999999996</v>
      </c>
      <c r="G5" s="28">
        <v>0.61228000000000005</v>
      </c>
      <c r="H5" s="28">
        <v>0.66958629999999997</v>
      </c>
      <c r="I5" s="27">
        <v>0</v>
      </c>
      <c r="K5" s="27" t="s">
        <v>52</v>
      </c>
      <c r="L5" s="28">
        <v>0.59939509999999996</v>
      </c>
      <c r="M5" s="28">
        <v>0.19758139999999999</v>
      </c>
      <c r="N5" s="28">
        <v>0.88727999999999996</v>
      </c>
      <c r="O5" s="30" t="s">
        <v>36</v>
      </c>
    </row>
    <row r="6" spans="2:15" x14ac:dyDescent="0.2">
      <c r="B6" s="27" t="s">
        <v>20</v>
      </c>
      <c r="C6" s="28">
        <v>0.58989570000000002</v>
      </c>
      <c r="D6" s="28">
        <v>0.6251293</v>
      </c>
      <c r="E6" s="28">
        <v>0.65649349999999995</v>
      </c>
      <c r="F6" s="28">
        <v>0.64780090000000001</v>
      </c>
      <c r="G6" s="28">
        <v>0.66648050000000003</v>
      </c>
      <c r="H6" s="28">
        <v>0.69389140000000005</v>
      </c>
      <c r="I6" s="27">
        <v>0</v>
      </c>
      <c r="K6" s="27" t="s">
        <v>56</v>
      </c>
      <c r="L6" s="28">
        <v>0.64780090000000001</v>
      </c>
      <c r="M6" s="28">
        <v>0.32569199999999998</v>
      </c>
      <c r="N6" s="28">
        <v>0.83717070000000005</v>
      </c>
      <c r="O6" s="30" t="s">
        <v>37</v>
      </c>
    </row>
    <row r="7" spans="2:15" x14ac:dyDescent="0.2">
      <c r="B7" s="27" t="s">
        <v>21</v>
      </c>
      <c r="C7" s="28">
        <v>0.561894</v>
      </c>
      <c r="D7" s="28">
        <v>0.61462600000000001</v>
      </c>
      <c r="E7" s="28">
        <v>0.64350410000000002</v>
      </c>
      <c r="F7" s="28">
        <v>0.63784490000000005</v>
      </c>
      <c r="G7" s="28">
        <v>0.65955339999999996</v>
      </c>
      <c r="H7" s="28">
        <v>0.70014259999999995</v>
      </c>
      <c r="I7" s="27">
        <v>0</v>
      </c>
      <c r="K7" s="27" t="s">
        <v>57</v>
      </c>
      <c r="L7" s="28">
        <v>0.63784490000000005</v>
      </c>
      <c r="M7" s="28">
        <v>0.2112145</v>
      </c>
      <c r="N7" s="28">
        <v>0.90264089999999997</v>
      </c>
      <c r="O7" s="30" t="s">
        <v>38</v>
      </c>
    </row>
    <row r="8" spans="2:15" x14ac:dyDescent="0.2">
      <c r="B8" s="27" t="s">
        <v>22</v>
      </c>
      <c r="C8" s="28">
        <v>0.58451620000000004</v>
      </c>
      <c r="D8" s="28">
        <v>0.62565709999999997</v>
      </c>
      <c r="E8" s="28">
        <v>0.64307340000000002</v>
      </c>
      <c r="F8" s="28">
        <v>0.64520829999999996</v>
      </c>
      <c r="G8" s="28">
        <v>0.66573079999999996</v>
      </c>
      <c r="H8" s="28">
        <v>0.71179269999999994</v>
      </c>
      <c r="I8" s="27">
        <v>0</v>
      </c>
      <c r="K8" s="27" t="s">
        <v>56</v>
      </c>
      <c r="L8" s="28">
        <v>0.64520829999999996</v>
      </c>
      <c r="M8" s="28">
        <v>0.35412300000000002</v>
      </c>
      <c r="N8" s="28">
        <v>0.82091910000000001</v>
      </c>
      <c r="O8" s="30" t="s">
        <v>39</v>
      </c>
    </row>
    <row r="9" spans="2:15" x14ac:dyDescent="0.2">
      <c r="B9" s="27" t="s">
        <v>23</v>
      </c>
      <c r="C9" s="28">
        <v>0.56934989999999996</v>
      </c>
      <c r="D9" s="28">
        <v>0.59871719999999995</v>
      </c>
      <c r="E9" s="28">
        <v>0.6164345</v>
      </c>
      <c r="F9" s="28">
        <v>0.61579390000000001</v>
      </c>
      <c r="G9" s="28">
        <v>0.63795380000000002</v>
      </c>
      <c r="H9" s="28">
        <v>0.65795090000000001</v>
      </c>
      <c r="I9" s="27">
        <v>0</v>
      </c>
      <c r="K9" s="27" t="s">
        <v>51</v>
      </c>
      <c r="L9" s="28">
        <v>0.61579390000000001</v>
      </c>
      <c r="M9" s="28">
        <v>0.38207089999999999</v>
      </c>
      <c r="N9" s="28">
        <v>0.78179989999999999</v>
      </c>
      <c r="O9" s="30" t="s">
        <v>40</v>
      </c>
    </row>
    <row r="10" spans="2:15" x14ac:dyDescent="0.2">
      <c r="B10" s="27" t="s">
        <v>24</v>
      </c>
      <c r="C10" s="28">
        <v>0.49925659999999999</v>
      </c>
      <c r="D10" s="28">
        <v>0.54151859999999996</v>
      </c>
      <c r="E10" s="28">
        <v>0.56796389999999997</v>
      </c>
      <c r="F10" s="28">
        <v>0.56552840000000004</v>
      </c>
      <c r="G10" s="28">
        <v>0.58204920000000004</v>
      </c>
      <c r="H10" s="28">
        <v>0.62294079999999996</v>
      </c>
      <c r="I10" s="27">
        <v>0</v>
      </c>
      <c r="K10" s="27" t="s">
        <v>58</v>
      </c>
      <c r="L10" s="28">
        <v>0.56552840000000004</v>
      </c>
      <c r="M10" s="28">
        <v>0.10630009999999999</v>
      </c>
      <c r="N10" s="28">
        <v>0.91466099999999995</v>
      </c>
      <c r="O10" s="30" t="s">
        <v>41</v>
      </c>
    </row>
    <row r="11" spans="2:15" x14ac:dyDescent="0.2">
      <c r="B11" s="27" t="s">
        <v>25</v>
      </c>
      <c r="C11" s="28">
        <v>0.4969942</v>
      </c>
      <c r="D11" s="28">
        <v>0.54237069999999998</v>
      </c>
      <c r="E11" s="28">
        <v>0.56596020000000002</v>
      </c>
      <c r="F11" s="28">
        <v>0.56545849999999998</v>
      </c>
      <c r="G11" s="28">
        <v>0.58563160000000003</v>
      </c>
      <c r="H11" s="28">
        <v>0.61875800000000003</v>
      </c>
      <c r="I11" s="27">
        <v>0</v>
      </c>
      <c r="K11" s="27" t="s">
        <v>58</v>
      </c>
      <c r="L11" s="28">
        <v>0.56545849999999998</v>
      </c>
      <c r="M11" s="28">
        <v>0.1065502</v>
      </c>
      <c r="N11" s="28">
        <v>0.91556329999999997</v>
      </c>
      <c r="O11" s="30" t="s">
        <v>42</v>
      </c>
    </row>
    <row r="12" spans="2:15" x14ac:dyDescent="0.2">
      <c r="B12" s="27" t="s">
        <v>26</v>
      </c>
      <c r="C12" s="28">
        <v>0.58960400000000002</v>
      </c>
      <c r="D12" s="28">
        <v>0.62779149999999995</v>
      </c>
      <c r="E12" s="28">
        <v>0.65238099999999999</v>
      </c>
      <c r="F12" s="28">
        <v>0.64894370000000001</v>
      </c>
      <c r="G12" s="28">
        <v>0.67007700000000003</v>
      </c>
      <c r="H12" s="28">
        <v>0.71170009999999995</v>
      </c>
      <c r="I12" s="27">
        <v>0</v>
      </c>
      <c r="K12" s="27" t="s">
        <v>55</v>
      </c>
      <c r="L12" s="28">
        <v>0.64894370000000001</v>
      </c>
      <c r="M12" s="28">
        <v>0.2809644</v>
      </c>
      <c r="N12" s="28">
        <v>0.85777859999999995</v>
      </c>
      <c r="O12" s="30" t="s">
        <v>43</v>
      </c>
    </row>
    <row r="13" spans="2:15" x14ac:dyDescent="0.2">
      <c r="B13" s="27" t="s">
        <v>27</v>
      </c>
      <c r="C13" s="28">
        <v>0.57872979999999996</v>
      </c>
      <c r="D13" s="28">
        <v>0.63041290000000005</v>
      </c>
      <c r="E13" s="28">
        <v>0.64353210000000005</v>
      </c>
      <c r="F13" s="28">
        <v>0.64522679999999999</v>
      </c>
      <c r="G13" s="28">
        <v>0.66285139999999998</v>
      </c>
      <c r="H13" s="28">
        <v>0.6943762</v>
      </c>
      <c r="I13" s="27">
        <v>0</v>
      </c>
      <c r="K13" s="27" t="s">
        <v>53</v>
      </c>
      <c r="L13" s="28">
        <v>0.64522679999999999</v>
      </c>
      <c r="M13" s="28">
        <v>0.33141320000000002</v>
      </c>
      <c r="N13" s="28">
        <v>0.82708950000000003</v>
      </c>
      <c r="O13" s="30" t="s">
        <v>44</v>
      </c>
    </row>
    <row r="14" spans="2:15" x14ac:dyDescent="0.2">
      <c r="B14" s="27" t="s">
        <v>28</v>
      </c>
      <c r="C14" s="28">
        <v>0.53619810000000001</v>
      </c>
      <c r="D14" s="28">
        <v>0.58262530000000001</v>
      </c>
      <c r="E14" s="28">
        <v>0.60518749999999999</v>
      </c>
      <c r="F14" s="28">
        <v>0.60115779999999996</v>
      </c>
      <c r="G14" s="28">
        <v>0.62749460000000001</v>
      </c>
      <c r="H14" s="28">
        <v>0.66473850000000001</v>
      </c>
      <c r="I14" s="27">
        <v>0</v>
      </c>
      <c r="K14" s="27" t="s">
        <v>28</v>
      </c>
      <c r="L14" s="28">
        <v>0.60115779999999996</v>
      </c>
      <c r="M14" s="28">
        <v>0.2245135</v>
      </c>
      <c r="N14" s="28">
        <v>0.87782130000000003</v>
      </c>
      <c r="O14" s="30" t="s">
        <v>45</v>
      </c>
    </row>
    <row r="15" spans="2:15" x14ac:dyDescent="0.2">
      <c r="B15" s="27" t="s">
        <v>29</v>
      </c>
      <c r="C15" s="28">
        <v>0.51403200000000004</v>
      </c>
      <c r="D15" s="28">
        <v>0.56321949999999998</v>
      </c>
      <c r="E15" s="28">
        <v>0.58461540000000001</v>
      </c>
      <c r="F15" s="28">
        <v>0.58539739999999996</v>
      </c>
      <c r="G15" s="28">
        <v>0.60313799999999995</v>
      </c>
      <c r="H15" s="28">
        <v>0.65308880000000002</v>
      </c>
      <c r="I15" s="27">
        <v>0</v>
      </c>
      <c r="K15" s="27" t="s">
        <v>50</v>
      </c>
      <c r="L15" s="28">
        <v>0.58539739999999996</v>
      </c>
      <c r="M15" s="28">
        <v>0.29818939999999999</v>
      </c>
      <c r="N15" s="28">
        <v>0.8302427</v>
      </c>
      <c r="O15" s="30" t="s">
        <v>46</v>
      </c>
    </row>
    <row r="16" spans="2:15" x14ac:dyDescent="0.2">
      <c r="B16" s="29"/>
    </row>
    <row r="17" spans="2:15" x14ac:dyDescent="0.2">
      <c r="B17" s="21" t="s">
        <v>31</v>
      </c>
      <c r="C17" s="22" t="s">
        <v>10</v>
      </c>
      <c r="D17" s="22" t="s">
        <v>11</v>
      </c>
      <c r="E17" s="22" t="s">
        <v>12</v>
      </c>
      <c r="F17" s="22" t="s">
        <v>13</v>
      </c>
      <c r="G17" s="22" t="s">
        <v>14</v>
      </c>
      <c r="H17" s="22" t="s">
        <v>15</v>
      </c>
      <c r="I17" s="22" t="s">
        <v>16</v>
      </c>
      <c r="K17" s="21" t="s">
        <v>5</v>
      </c>
      <c r="L17" s="24" t="s">
        <v>9</v>
      </c>
      <c r="M17" s="24" t="s">
        <v>31</v>
      </c>
      <c r="N17" s="24" t="s">
        <v>47</v>
      </c>
      <c r="O17" s="24" t="s">
        <v>48</v>
      </c>
    </row>
    <row r="18" spans="2:15" x14ac:dyDescent="0.2">
      <c r="B18" s="25" t="s">
        <v>17</v>
      </c>
      <c r="C18" s="26">
        <v>0.28571428999999998</v>
      </c>
      <c r="D18" s="26">
        <v>0.32200667999999999</v>
      </c>
      <c r="E18" s="26">
        <v>0.34409044</v>
      </c>
      <c r="F18" s="26">
        <v>0.34599350000000001</v>
      </c>
      <c r="G18" s="26">
        <v>0.37410070000000001</v>
      </c>
      <c r="H18" s="26">
        <v>0.41428569999999998</v>
      </c>
      <c r="I18" s="25">
        <v>0</v>
      </c>
      <c r="K18" s="27" t="s">
        <v>54</v>
      </c>
      <c r="L18" s="28">
        <v>0.65252299999999996</v>
      </c>
      <c r="M18" s="28">
        <v>0.34599350000000001</v>
      </c>
      <c r="N18" s="28">
        <v>0.83492250000000001</v>
      </c>
      <c r="O18" s="30" t="s">
        <v>34</v>
      </c>
    </row>
    <row r="19" spans="2:15" x14ac:dyDescent="0.2">
      <c r="B19" s="27" t="s">
        <v>18</v>
      </c>
      <c r="C19" s="28">
        <v>0.25179856</v>
      </c>
      <c r="D19" s="28">
        <v>0.37589928</v>
      </c>
      <c r="E19" s="28">
        <v>0.38848920999999997</v>
      </c>
      <c r="F19" s="28">
        <v>0.39424629999999999</v>
      </c>
      <c r="G19" s="28">
        <v>0.42678569999999999</v>
      </c>
      <c r="H19" s="28">
        <v>0.45714290000000002</v>
      </c>
      <c r="I19" s="27">
        <v>0</v>
      </c>
      <c r="K19" s="27" t="s">
        <v>55</v>
      </c>
      <c r="L19" s="28">
        <v>0.64894370000000001</v>
      </c>
      <c r="M19" s="28">
        <v>0.2809644</v>
      </c>
      <c r="N19" s="28">
        <v>0.85777859999999995</v>
      </c>
      <c r="O19" s="30" t="s">
        <v>43</v>
      </c>
    </row>
    <row r="20" spans="2:15" x14ac:dyDescent="0.2">
      <c r="B20" s="27" t="s">
        <v>19</v>
      </c>
      <c r="C20" s="28">
        <v>0.13669065</v>
      </c>
      <c r="D20" s="28">
        <v>0.17857143</v>
      </c>
      <c r="E20" s="28">
        <v>0.18995375</v>
      </c>
      <c r="F20" s="28">
        <v>0.19758139999999999</v>
      </c>
      <c r="G20" s="28">
        <v>0.2128726</v>
      </c>
      <c r="H20" s="28">
        <v>0.26428570000000001</v>
      </c>
      <c r="I20" s="27">
        <v>0</v>
      </c>
      <c r="K20" s="27" t="s">
        <v>56</v>
      </c>
      <c r="L20" s="28">
        <v>0.64780090000000001</v>
      </c>
      <c r="M20" s="28">
        <v>0.32569199999999998</v>
      </c>
      <c r="N20" s="28">
        <v>0.83717070000000005</v>
      </c>
      <c r="O20" s="30" t="s">
        <v>37</v>
      </c>
    </row>
    <row r="21" spans="2:15" x14ac:dyDescent="0.2">
      <c r="B21" s="27" t="s">
        <v>20</v>
      </c>
      <c r="C21" s="28">
        <v>0.26428571000000001</v>
      </c>
      <c r="D21" s="28">
        <v>0.30340442000000001</v>
      </c>
      <c r="E21" s="28">
        <v>0.31428571</v>
      </c>
      <c r="F21" s="28">
        <v>0.32569199999999998</v>
      </c>
      <c r="G21" s="28">
        <v>0.35535709999999998</v>
      </c>
      <c r="H21" s="28">
        <v>0.40287770000000001</v>
      </c>
      <c r="I21" s="27">
        <v>0</v>
      </c>
      <c r="K21" s="27" t="s">
        <v>53</v>
      </c>
      <c r="L21" s="28">
        <v>0.64522679999999999</v>
      </c>
      <c r="M21" s="28">
        <v>0.33141320000000002</v>
      </c>
      <c r="N21" s="28">
        <v>0.82708950000000003</v>
      </c>
      <c r="O21" s="30" t="s">
        <v>44</v>
      </c>
    </row>
    <row r="22" spans="2:15" x14ac:dyDescent="0.2">
      <c r="B22" s="27" t="s">
        <v>21</v>
      </c>
      <c r="C22" s="28">
        <v>0.15714286</v>
      </c>
      <c r="D22" s="28">
        <v>0.1860483</v>
      </c>
      <c r="E22" s="28">
        <v>0.20863308999999999</v>
      </c>
      <c r="F22" s="28">
        <v>0.2112145</v>
      </c>
      <c r="G22" s="28">
        <v>0.2352004</v>
      </c>
      <c r="H22" s="28">
        <v>0.27857140000000002</v>
      </c>
      <c r="I22" s="27">
        <v>0</v>
      </c>
      <c r="K22" s="27" t="s">
        <v>56</v>
      </c>
      <c r="L22" s="28">
        <v>0.64520829999999996</v>
      </c>
      <c r="M22" s="28">
        <v>0.35412300000000002</v>
      </c>
      <c r="N22" s="28">
        <v>0.82091910000000001</v>
      </c>
      <c r="O22" s="30" t="s">
        <v>39</v>
      </c>
    </row>
    <row r="23" spans="2:15" x14ac:dyDescent="0.2">
      <c r="B23" s="27" t="s">
        <v>22</v>
      </c>
      <c r="C23" s="28">
        <v>0.3</v>
      </c>
      <c r="D23" s="28">
        <v>0.33093525000000001</v>
      </c>
      <c r="E23" s="28">
        <v>0.35483041999999998</v>
      </c>
      <c r="F23" s="28">
        <v>0.35412300000000002</v>
      </c>
      <c r="G23" s="28">
        <v>0.37745380000000001</v>
      </c>
      <c r="H23" s="28">
        <v>0.42446040000000002</v>
      </c>
      <c r="I23" s="27">
        <v>0</v>
      </c>
      <c r="K23" s="27" t="s">
        <v>57</v>
      </c>
      <c r="L23" s="28">
        <v>0.63784490000000005</v>
      </c>
      <c r="M23" s="28">
        <v>0.2112145</v>
      </c>
      <c r="N23" s="28">
        <v>0.90264089999999997</v>
      </c>
      <c r="O23" s="30" t="s">
        <v>38</v>
      </c>
    </row>
    <row r="24" spans="2:15" x14ac:dyDescent="0.2">
      <c r="B24" s="27" t="s">
        <v>23</v>
      </c>
      <c r="C24" s="28">
        <v>0.29496402999999999</v>
      </c>
      <c r="D24" s="28">
        <v>0.35062949999999998</v>
      </c>
      <c r="E24" s="28">
        <v>0.38848920999999997</v>
      </c>
      <c r="F24" s="28">
        <v>0.38207089999999999</v>
      </c>
      <c r="G24" s="28">
        <v>0.41007189999999999</v>
      </c>
      <c r="H24" s="28">
        <v>0.4357143</v>
      </c>
      <c r="I24" s="27">
        <v>0</v>
      </c>
      <c r="K24" s="27" t="s">
        <v>49</v>
      </c>
      <c r="L24" s="28">
        <v>0.62473730000000005</v>
      </c>
      <c r="M24" s="28">
        <v>0.39424629999999999</v>
      </c>
      <c r="N24" s="28">
        <v>0.76540229999999998</v>
      </c>
      <c r="O24" s="30" t="s">
        <v>35</v>
      </c>
    </row>
    <row r="25" spans="2:15" x14ac:dyDescent="0.2">
      <c r="B25" s="27" t="s">
        <v>24</v>
      </c>
      <c r="C25" s="28">
        <v>7.1942450000000005E-2</v>
      </c>
      <c r="D25" s="28">
        <v>9.2857140000000005E-2</v>
      </c>
      <c r="E25" s="28">
        <v>0.1</v>
      </c>
      <c r="F25" s="28">
        <v>0.10630009999999999</v>
      </c>
      <c r="G25" s="28">
        <v>0.1223022</v>
      </c>
      <c r="H25" s="28">
        <v>0.16428570000000001</v>
      </c>
      <c r="I25" s="27">
        <v>0</v>
      </c>
      <c r="K25" s="27" t="s">
        <v>51</v>
      </c>
      <c r="L25" s="28">
        <v>0.61579390000000001</v>
      </c>
      <c r="M25" s="28">
        <v>0.38207089999999999</v>
      </c>
      <c r="N25" s="28">
        <v>0.78179989999999999</v>
      </c>
      <c r="O25" s="30" t="s">
        <v>40</v>
      </c>
    </row>
    <row r="26" spans="2:15" x14ac:dyDescent="0.2">
      <c r="B26" s="27" t="s">
        <v>25</v>
      </c>
      <c r="C26" s="28">
        <v>7.1942450000000005E-2</v>
      </c>
      <c r="D26" s="28">
        <v>8.6330939999999995E-2</v>
      </c>
      <c r="E26" s="28">
        <v>9.3525179999999999E-2</v>
      </c>
      <c r="F26" s="28">
        <v>0.1065502</v>
      </c>
      <c r="G26" s="28">
        <v>0.1223022</v>
      </c>
      <c r="H26" s="28">
        <v>0.17142859999999999</v>
      </c>
      <c r="I26" s="27">
        <v>0</v>
      </c>
      <c r="K26" s="27" t="s">
        <v>28</v>
      </c>
      <c r="L26" s="28">
        <v>0.60115779999999996</v>
      </c>
      <c r="M26" s="28">
        <v>0.2245135</v>
      </c>
      <c r="N26" s="28">
        <v>0.87782130000000003</v>
      </c>
      <c r="O26" s="30" t="s">
        <v>45</v>
      </c>
    </row>
    <row r="27" spans="2:15" x14ac:dyDescent="0.2">
      <c r="B27" s="27" t="s">
        <v>26</v>
      </c>
      <c r="C27" s="28">
        <v>0.21582734000000001</v>
      </c>
      <c r="D27" s="28">
        <v>0.24595323999999999</v>
      </c>
      <c r="E27" s="28">
        <v>0.27857143000000001</v>
      </c>
      <c r="F27" s="28">
        <v>0.2809644</v>
      </c>
      <c r="G27" s="28">
        <v>0.3178571</v>
      </c>
      <c r="H27" s="28">
        <v>0.35</v>
      </c>
      <c r="I27" s="27">
        <v>0</v>
      </c>
      <c r="K27" s="27" t="s">
        <v>52</v>
      </c>
      <c r="L27" s="28">
        <v>0.59939509999999996</v>
      </c>
      <c r="M27" s="28">
        <v>0.19758139999999999</v>
      </c>
      <c r="N27" s="28">
        <v>0.88727999999999996</v>
      </c>
      <c r="O27" s="30" t="s">
        <v>36</v>
      </c>
    </row>
    <row r="28" spans="2:15" x14ac:dyDescent="0.2">
      <c r="B28" s="27" t="s">
        <v>27</v>
      </c>
      <c r="C28" s="28">
        <v>0.25714285999999997</v>
      </c>
      <c r="D28" s="28">
        <v>0.30935252000000002</v>
      </c>
      <c r="E28" s="28">
        <v>0.33093525000000001</v>
      </c>
      <c r="F28" s="28">
        <v>0.33141320000000002</v>
      </c>
      <c r="G28" s="28">
        <v>0.35071940000000001</v>
      </c>
      <c r="H28" s="28">
        <v>0.42142859999999999</v>
      </c>
      <c r="I28" s="27">
        <v>0</v>
      </c>
      <c r="K28" s="27" t="s">
        <v>50</v>
      </c>
      <c r="L28" s="28">
        <v>0.58539739999999996</v>
      </c>
      <c r="M28" s="28">
        <v>0.29818939999999999</v>
      </c>
      <c r="N28" s="28">
        <v>0.8302427</v>
      </c>
      <c r="O28" s="30" t="s">
        <v>46</v>
      </c>
    </row>
    <row r="29" spans="2:15" x14ac:dyDescent="0.2">
      <c r="B29" s="27" t="s">
        <v>28</v>
      </c>
      <c r="C29" s="28">
        <v>7.9136689999999996E-2</v>
      </c>
      <c r="D29" s="28">
        <v>0.16458118999999999</v>
      </c>
      <c r="E29" s="28">
        <v>0.19714799999999999</v>
      </c>
      <c r="F29" s="28">
        <v>0.2245135</v>
      </c>
      <c r="G29" s="28">
        <v>0.2693217</v>
      </c>
      <c r="H29" s="28">
        <v>0.49285709999999999</v>
      </c>
      <c r="I29" s="27">
        <v>0</v>
      </c>
      <c r="K29" s="27" t="s">
        <v>58</v>
      </c>
      <c r="L29" s="28">
        <v>0.56552840000000004</v>
      </c>
      <c r="M29" s="28">
        <v>0.10630009999999999</v>
      </c>
      <c r="N29" s="28">
        <v>0.91466099999999995</v>
      </c>
      <c r="O29" s="30" t="s">
        <v>41</v>
      </c>
    </row>
    <row r="30" spans="2:15" x14ac:dyDescent="0.2">
      <c r="B30" s="27" t="s">
        <v>29</v>
      </c>
      <c r="C30" s="28">
        <v>0.12949640000000001</v>
      </c>
      <c r="D30" s="28">
        <v>0.24773895000000001</v>
      </c>
      <c r="E30" s="28">
        <v>0.30107914000000002</v>
      </c>
      <c r="F30" s="28">
        <v>0.29818939999999999</v>
      </c>
      <c r="G30" s="28">
        <v>0.34821429999999998</v>
      </c>
      <c r="H30" s="28">
        <v>0.47142859999999998</v>
      </c>
      <c r="I30" s="27">
        <v>0</v>
      </c>
      <c r="K30" s="27" t="s">
        <v>58</v>
      </c>
      <c r="L30" s="28">
        <v>0.56545849999999998</v>
      </c>
      <c r="M30" s="28">
        <v>0.1065502</v>
      </c>
      <c r="N30" s="28">
        <v>0.91556329999999997</v>
      </c>
      <c r="O30" s="30" t="s">
        <v>42</v>
      </c>
    </row>
    <row r="32" spans="2:15" x14ac:dyDescent="0.2">
      <c r="B32" s="21" t="s">
        <v>33</v>
      </c>
      <c r="C32" s="22" t="s">
        <v>10</v>
      </c>
      <c r="D32" s="22" t="s">
        <v>11</v>
      </c>
      <c r="E32" s="22" t="s">
        <v>12</v>
      </c>
      <c r="F32" s="22" t="s">
        <v>13</v>
      </c>
      <c r="G32" s="22" t="s">
        <v>14</v>
      </c>
      <c r="H32" s="22" t="s">
        <v>15</v>
      </c>
      <c r="I32" s="22" t="s">
        <v>16</v>
      </c>
    </row>
    <row r="33" spans="2:9" x14ac:dyDescent="0.2">
      <c r="B33" s="25" t="s">
        <v>17</v>
      </c>
      <c r="C33" s="26">
        <v>0.76470590000000005</v>
      </c>
      <c r="D33" s="26">
        <v>0.82525680000000001</v>
      </c>
      <c r="E33" s="26">
        <v>0.83747099999999997</v>
      </c>
      <c r="F33" s="26">
        <v>0.83492250000000001</v>
      </c>
      <c r="G33" s="26">
        <v>0.85135139999999998</v>
      </c>
      <c r="H33" s="26">
        <v>0.89140269999999999</v>
      </c>
      <c r="I33" s="25">
        <v>0</v>
      </c>
    </row>
    <row r="34" spans="2:9" x14ac:dyDescent="0.2">
      <c r="B34" s="27" t="s">
        <v>18</v>
      </c>
      <c r="C34" s="28">
        <v>0.70588240000000002</v>
      </c>
      <c r="D34" s="28">
        <v>0.74801779999999995</v>
      </c>
      <c r="E34" s="28">
        <v>0.76351349999999996</v>
      </c>
      <c r="F34" s="28">
        <v>0.76540229999999998</v>
      </c>
      <c r="G34" s="28">
        <v>0.78353919999999999</v>
      </c>
      <c r="H34" s="28">
        <v>0.82432430000000001</v>
      </c>
      <c r="I34" s="27">
        <v>0</v>
      </c>
    </row>
    <row r="35" spans="2:9" x14ac:dyDescent="0.2">
      <c r="B35" s="27" t="s">
        <v>19</v>
      </c>
      <c r="C35" s="28">
        <v>0.80542990000000003</v>
      </c>
      <c r="D35" s="28">
        <v>0.87443439999999995</v>
      </c>
      <c r="E35" s="28">
        <v>0.89140269999999999</v>
      </c>
      <c r="F35" s="28">
        <v>0.88727999999999996</v>
      </c>
      <c r="G35" s="28">
        <v>0.90529839999999995</v>
      </c>
      <c r="H35" s="28">
        <v>0.92342340000000001</v>
      </c>
      <c r="I35" s="27">
        <v>0</v>
      </c>
    </row>
    <row r="36" spans="2:9" x14ac:dyDescent="0.2">
      <c r="B36" s="27" t="s">
        <v>20</v>
      </c>
      <c r="C36" s="28">
        <v>0.7511312</v>
      </c>
      <c r="D36" s="28">
        <v>0.81756759999999995</v>
      </c>
      <c r="E36" s="28">
        <v>0.84615379999999996</v>
      </c>
      <c r="F36" s="28">
        <v>0.83717070000000005</v>
      </c>
      <c r="G36" s="28">
        <v>0.86020240000000003</v>
      </c>
      <c r="H36" s="28">
        <v>0.9009009</v>
      </c>
      <c r="I36" s="27">
        <v>0</v>
      </c>
    </row>
    <row r="37" spans="2:9" x14ac:dyDescent="0.2">
      <c r="B37" s="27" t="s">
        <v>21</v>
      </c>
      <c r="C37" s="28">
        <v>0.84684680000000001</v>
      </c>
      <c r="D37" s="28">
        <v>0.88800900000000005</v>
      </c>
      <c r="E37" s="28">
        <v>0.90045249999999999</v>
      </c>
      <c r="F37" s="28">
        <v>0.90264089999999997</v>
      </c>
      <c r="G37" s="28">
        <v>0.91891889999999998</v>
      </c>
      <c r="H37" s="28">
        <v>0.94594590000000001</v>
      </c>
      <c r="I37" s="27">
        <v>0</v>
      </c>
    </row>
    <row r="38" spans="2:9" x14ac:dyDescent="0.2">
      <c r="B38" s="27" t="s">
        <v>22</v>
      </c>
      <c r="C38" s="28">
        <v>0.71945700000000001</v>
      </c>
      <c r="D38" s="28">
        <v>0.8072184</v>
      </c>
      <c r="E38" s="28">
        <v>0.82167460000000003</v>
      </c>
      <c r="F38" s="28">
        <v>0.82091910000000001</v>
      </c>
      <c r="G38" s="28">
        <v>0.84049770000000001</v>
      </c>
      <c r="H38" s="28">
        <v>0.90950229999999999</v>
      </c>
      <c r="I38" s="27">
        <v>0</v>
      </c>
    </row>
    <row r="39" spans="2:9" x14ac:dyDescent="0.2">
      <c r="B39" s="27" t="s">
        <v>23</v>
      </c>
      <c r="C39" s="28">
        <v>0.72972970000000004</v>
      </c>
      <c r="D39" s="28">
        <v>0.76045110000000005</v>
      </c>
      <c r="E39" s="28">
        <v>0.78506790000000004</v>
      </c>
      <c r="F39" s="28">
        <v>0.78179989999999999</v>
      </c>
      <c r="G39" s="28">
        <v>0.8015776</v>
      </c>
      <c r="H39" s="28">
        <v>0.82805430000000002</v>
      </c>
      <c r="I39" s="27">
        <v>0</v>
      </c>
    </row>
    <row r="40" spans="2:9" x14ac:dyDescent="0.2">
      <c r="B40" s="27" t="s">
        <v>24</v>
      </c>
      <c r="C40" s="28">
        <v>0.85972850000000001</v>
      </c>
      <c r="D40" s="28">
        <v>0.90158369999999999</v>
      </c>
      <c r="E40" s="28">
        <v>0.91891889999999998</v>
      </c>
      <c r="F40" s="28">
        <v>0.91466099999999995</v>
      </c>
      <c r="G40" s="28">
        <v>0.92792790000000003</v>
      </c>
      <c r="H40" s="28">
        <v>0.95475109999999996</v>
      </c>
      <c r="I40" s="27">
        <v>0</v>
      </c>
    </row>
    <row r="41" spans="2:9" x14ac:dyDescent="0.2">
      <c r="B41" s="27" t="s">
        <v>25</v>
      </c>
      <c r="C41" s="28">
        <v>0.84684680000000001</v>
      </c>
      <c r="D41" s="28">
        <v>0.90960419999999997</v>
      </c>
      <c r="E41" s="28">
        <v>0.91855200000000004</v>
      </c>
      <c r="F41" s="28">
        <v>0.91556329999999997</v>
      </c>
      <c r="G41" s="28">
        <v>0.93130630000000003</v>
      </c>
      <c r="H41" s="28">
        <v>0.954955</v>
      </c>
      <c r="I41" s="27">
        <v>0</v>
      </c>
    </row>
    <row r="42" spans="2:9" x14ac:dyDescent="0.2">
      <c r="B42" s="27" t="s">
        <v>26</v>
      </c>
      <c r="C42" s="28">
        <v>0.80995479999999997</v>
      </c>
      <c r="D42" s="28">
        <v>0.84162899999999996</v>
      </c>
      <c r="E42" s="28">
        <v>0.8577922</v>
      </c>
      <c r="F42" s="28">
        <v>0.85777859999999995</v>
      </c>
      <c r="G42" s="28">
        <v>0.87231970000000003</v>
      </c>
      <c r="H42" s="28">
        <v>0.90540540000000003</v>
      </c>
      <c r="I42" s="27">
        <v>0</v>
      </c>
    </row>
    <row r="43" spans="2:9" x14ac:dyDescent="0.2">
      <c r="B43" s="27" t="s">
        <v>27</v>
      </c>
      <c r="C43" s="28">
        <v>0.76576580000000005</v>
      </c>
      <c r="D43" s="28">
        <v>0.79954950000000002</v>
      </c>
      <c r="E43" s="28">
        <v>0.830704</v>
      </c>
      <c r="F43" s="28">
        <v>0.82708950000000003</v>
      </c>
      <c r="G43" s="28">
        <v>0.84234229999999999</v>
      </c>
      <c r="H43" s="28">
        <v>0.9009009</v>
      </c>
      <c r="I43" s="27">
        <v>0</v>
      </c>
    </row>
    <row r="44" spans="2:9" x14ac:dyDescent="0.2">
      <c r="B44" s="27" t="s">
        <v>28</v>
      </c>
      <c r="C44" s="28">
        <v>0.73873869999999997</v>
      </c>
      <c r="D44" s="28">
        <v>0.83031670000000002</v>
      </c>
      <c r="E44" s="28">
        <v>0.8941441</v>
      </c>
      <c r="F44" s="28">
        <v>0.87782130000000003</v>
      </c>
      <c r="G44" s="28">
        <v>0.93665160000000003</v>
      </c>
      <c r="H44" s="28">
        <v>0.95927600000000002</v>
      </c>
      <c r="I44" s="27">
        <v>0</v>
      </c>
    </row>
    <row r="45" spans="2:9" x14ac:dyDescent="0.2">
      <c r="B45" s="27" t="s">
        <v>29</v>
      </c>
      <c r="C45" s="28">
        <v>0.73755660000000001</v>
      </c>
      <c r="D45" s="28">
        <v>0.7759009</v>
      </c>
      <c r="E45" s="28">
        <v>0.84424809999999995</v>
      </c>
      <c r="F45" s="28">
        <v>0.8302427</v>
      </c>
      <c r="G45" s="28">
        <v>0.87910699999999997</v>
      </c>
      <c r="H45" s="28">
        <v>0.91855200000000004</v>
      </c>
      <c r="I45" s="27">
        <v>0</v>
      </c>
    </row>
  </sheetData>
  <sortState xmlns:xlrd2="http://schemas.microsoft.com/office/spreadsheetml/2017/richdata2" ref="K18:O30">
    <sortCondition descending="1" ref="L18:L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0602-7269-D944-974C-E7C35C21202D}">
  <dimension ref="B1:S41"/>
  <sheetViews>
    <sheetView showGridLines="0" workbookViewId="0"/>
  </sheetViews>
  <sheetFormatPr baseColWidth="10" defaultRowHeight="16" x14ac:dyDescent="0.2"/>
  <cols>
    <col min="1" max="1" width="2.83203125" customWidth="1"/>
    <col min="2" max="2" width="14.33203125" customWidth="1"/>
    <col min="3" max="4" width="8.1640625" customWidth="1"/>
    <col min="5" max="5" width="14.33203125" customWidth="1"/>
    <col min="6" max="7" width="8.1640625" customWidth="1"/>
    <col min="8" max="8" width="14.33203125" customWidth="1"/>
    <col min="9" max="10" width="8.1640625" customWidth="1"/>
    <col min="11" max="11" width="2.6640625" customWidth="1"/>
    <col min="12" max="12" width="11.6640625" bestFit="1" customWidth="1"/>
    <col min="13" max="13" width="9" bestFit="1" customWidth="1"/>
    <col min="14" max="14" width="7" bestFit="1" customWidth="1"/>
    <col min="15" max="15" width="6.1640625" bestFit="1" customWidth="1"/>
    <col min="16" max="16" width="7" bestFit="1" customWidth="1"/>
    <col min="17" max="17" width="6.1640625" bestFit="1" customWidth="1"/>
  </cols>
  <sheetData>
    <row r="1" spans="2:19" ht="17" thickBot="1" x14ac:dyDescent="0.25"/>
    <row r="2" spans="2:19" ht="17" thickBot="1" x14ac:dyDescent="0.25">
      <c r="B2" s="37" t="s">
        <v>17</v>
      </c>
      <c r="C2" s="31"/>
      <c r="D2" s="32"/>
      <c r="E2" s="37" t="s">
        <v>26</v>
      </c>
      <c r="F2" s="31"/>
      <c r="G2" s="32"/>
      <c r="H2" s="37" t="s">
        <v>20</v>
      </c>
      <c r="I2" s="31"/>
      <c r="J2" s="32"/>
      <c r="M2" s="2"/>
      <c r="N2" s="3" t="s">
        <v>1</v>
      </c>
      <c r="O2" s="3"/>
      <c r="P2" s="3" t="s">
        <v>2</v>
      </c>
      <c r="Q2" s="3"/>
    </row>
    <row r="3" spans="2:19" x14ac:dyDescent="0.2">
      <c r="B3" s="33" t="s">
        <v>71</v>
      </c>
      <c r="C3" s="38" t="s">
        <v>1</v>
      </c>
      <c r="D3" s="39" t="s">
        <v>2</v>
      </c>
      <c r="E3" s="33" t="s">
        <v>71</v>
      </c>
      <c r="F3" s="38" t="s">
        <v>1</v>
      </c>
      <c r="G3" s="39" t="s">
        <v>2</v>
      </c>
      <c r="H3" s="33" t="s">
        <v>71</v>
      </c>
      <c r="I3" s="38" t="s">
        <v>1</v>
      </c>
      <c r="J3" s="39" t="s">
        <v>2</v>
      </c>
      <c r="L3" s="5"/>
      <c r="M3" s="17" t="s">
        <v>0</v>
      </c>
      <c r="N3" s="6">
        <v>3454</v>
      </c>
      <c r="O3" s="7">
        <f>N3/(N3+P3)</f>
        <v>0.32289426942133309</v>
      </c>
      <c r="P3" s="6">
        <v>7243</v>
      </c>
      <c r="Q3" s="8">
        <f>P3/(N3+P3)</f>
        <v>0.67710573057866696</v>
      </c>
    </row>
    <row r="4" spans="2:19" x14ac:dyDescent="0.2">
      <c r="B4" s="34" t="s">
        <v>61</v>
      </c>
      <c r="C4" s="40">
        <v>44.4</v>
      </c>
      <c r="D4" s="41">
        <v>55.6</v>
      </c>
      <c r="E4" s="34" t="s">
        <v>72</v>
      </c>
      <c r="F4" s="40">
        <v>44.4</v>
      </c>
      <c r="G4" s="41">
        <v>55.6</v>
      </c>
      <c r="H4" s="34" t="s">
        <v>82</v>
      </c>
      <c r="I4" s="40">
        <v>49.8</v>
      </c>
      <c r="J4" s="41">
        <v>50.2</v>
      </c>
      <c r="L4" s="9" t="s">
        <v>5</v>
      </c>
      <c r="M4" s="18" t="s">
        <v>3</v>
      </c>
      <c r="N4" s="10">
        <v>1395</v>
      </c>
      <c r="O4" s="11">
        <f>N4/(N4+P4)</f>
        <v>0.38642659279778391</v>
      </c>
      <c r="P4" s="10">
        <v>2215</v>
      </c>
      <c r="Q4" s="12">
        <f>P4/(N4+P4)</f>
        <v>0.61357340720221609</v>
      </c>
    </row>
    <row r="5" spans="2:19" ht="17" thickBot="1" x14ac:dyDescent="0.25">
      <c r="B5" s="35" t="s">
        <v>62</v>
      </c>
      <c r="C5" s="42">
        <v>41.7</v>
      </c>
      <c r="D5" s="43">
        <v>58.3</v>
      </c>
      <c r="E5" s="35" t="s">
        <v>73</v>
      </c>
      <c r="F5" s="42">
        <v>40.6</v>
      </c>
      <c r="G5" s="43">
        <v>59.4</v>
      </c>
      <c r="H5" s="35" t="s">
        <v>83</v>
      </c>
      <c r="I5" s="42">
        <v>39.1</v>
      </c>
      <c r="J5" s="43">
        <v>60.9</v>
      </c>
      <c r="L5" s="13"/>
      <c r="M5" s="19" t="s">
        <v>4</v>
      </c>
      <c r="N5" s="14">
        <v>2059</v>
      </c>
      <c r="O5" s="52">
        <f>N5/(N5+P5)</f>
        <v>0.29053195992662623</v>
      </c>
      <c r="P5" s="14">
        <v>5028</v>
      </c>
      <c r="Q5" s="53">
        <f>P5/(N5+P5)</f>
        <v>0.70946804007337383</v>
      </c>
    </row>
    <row r="6" spans="2:19" x14ac:dyDescent="0.2">
      <c r="B6" s="34" t="s">
        <v>63</v>
      </c>
      <c r="C6" s="40">
        <v>35.299999999999997</v>
      </c>
      <c r="D6" s="41">
        <v>64.7</v>
      </c>
      <c r="E6" s="34" t="s">
        <v>74</v>
      </c>
      <c r="F6" s="40">
        <v>38</v>
      </c>
      <c r="G6" s="41">
        <v>62</v>
      </c>
      <c r="H6" s="34" t="s">
        <v>84</v>
      </c>
      <c r="I6" s="40">
        <v>36.4</v>
      </c>
      <c r="J6" s="41">
        <v>63.6</v>
      </c>
    </row>
    <row r="7" spans="2:19" x14ac:dyDescent="0.2">
      <c r="B7" s="35" t="s">
        <v>64</v>
      </c>
      <c r="C7" s="42">
        <v>30.4</v>
      </c>
      <c r="D7" s="43">
        <v>69.599999999999994</v>
      </c>
      <c r="E7" s="35" t="s">
        <v>75</v>
      </c>
      <c r="F7" s="42">
        <v>33.9</v>
      </c>
      <c r="G7" s="43">
        <v>66.099999999999994</v>
      </c>
      <c r="H7" s="35" t="s">
        <v>85</v>
      </c>
      <c r="I7" s="42">
        <v>28.5</v>
      </c>
      <c r="J7" s="43">
        <v>71.5</v>
      </c>
    </row>
    <row r="8" spans="2:19" x14ac:dyDescent="0.2">
      <c r="B8" s="34" t="s">
        <v>65</v>
      </c>
      <c r="C8" s="40">
        <v>29.1</v>
      </c>
      <c r="D8" s="41">
        <v>70.900000000000006</v>
      </c>
      <c r="E8" s="34" t="s">
        <v>76</v>
      </c>
      <c r="F8" s="40">
        <v>28.1</v>
      </c>
      <c r="G8" s="41">
        <v>71.900000000000006</v>
      </c>
      <c r="H8" s="34" t="s">
        <v>86</v>
      </c>
      <c r="I8" s="40">
        <v>27.3</v>
      </c>
      <c r="J8" s="41">
        <v>72.7</v>
      </c>
      <c r="O8" s="4"/>
      <c r="Q8" s="1"/>
      <c r="S8" s="1"/>
    </row>
    <row r="9" spans="2:19" x14ac:dyDescent="0.2">
      <c r="B9" s="35" t="s">
        <v>66</v>
      </c>
      <c r="C9" s="42">
        <v>23.8</v>
      </c>
      <c r="D9" s="43">
        <v>76.2</v>
      </c>
      <c r="E9" s="35" t="s">
        <v>77</v>
      </c>
      <c r="F9" s="42">
        <v>26</v>
      </c>
      <c r="G9" s="43">
        <v>74</v>
      </c>
      <c r="H9" s="35" t="s">
        <v>87</v>
      </c>
      <c r="I9" s="42">
        <v>25.5</v>
      </c>
      <c r="J9" s="43">
        <v>74.5</v>
      </c>
    </row>
    <row r="10" spans="2:19" x14ac:dyDescent="0.2">
      <c r="B10" s="34" t="s">
        <v>67</v>
      </c>
      <c r="C10" s="40">
        <v>26.2</v>
      </c>
      <c r="D10" s="41">
        <v>73.8</v>
      </c>
      <c r="E10" s="34" t="s">
        <v>78</v>
      </c>
      <c r="F10" s="40">
        <v>20.7</v>
      </c>
      <c r="G10" s="41">
        <v>79.3</v>
      </c>
      <c r="H10" s="34" t="s">
        <v>88</v>
      </c>
      <c r="I10" s="40">
        <v>23</v>
      </c>
      <c r="J10" s="41">
        <v>77</v>
      </c>
    </row>
    <row r="11" spans="2:19" x14ac:dyDescent="0.2">
      <c r="B11" s="35" t="s">
        <v>68</v>
      </c>
      <c r="C11" s="42">
        <v>21.8</v>
      </c>
      <c r="D11" s="43">
        <v>78.2</v>
      </c>
      <c r="E11" s="35" t="s">
        <v>79</v>
      </c>
      <c r="F11" s="42">
        <v>22.2</v>
      </c>
      <c r="G11" s="43">
        <v>77.8</v>
      </c>
      <c r="H11" s="35" t="s">
        <v>89</v>
      </c>
      <c r="I11" s="42">
        <v>22.3</v>
      </c>
      <c r="J11" s="43">
        <v>77.7</v>
      </c>
    </row>
    <row r="12" spans="2:19" x14ac:dyDescent="0.2">
      <c r="B12" s="34" t="s">
        <v>69</v>
      </c>
      <c r="C12" s="40">
        <v>20.2</v>
      </c>
      <c r="D12" s="41">
        <v>79.8</v>
      </c>
      <c r="E12" s="34" t="s">
        <v>80</v>
      </c>
      <c r="F12" s="40">
        <v>19.600000000000001</v>
      </c>
      <c r="G12" s="41">
        <v>80.400000000000006</v>
      </c>
      <c r="H12" s="34" t="s">
        <v>90</v>
      </c>
      <c r="I12" s="40">
        <v>20.7</v>
      </c>
      <c r="J12" s="41">
        <v>79.3</v>
      </c>
    </row>
    <row r="13" spans="2:19" x14ac:dyDescent="0.2">
      <c r="B13" s="35" t="s">
        <v>70</v>
      </c>
      <c r="C13" s="42">
        <v>18.3</v>
      </c>
      <c r="D13" s="43">
        <v>81.7</v>
      </c>
      <c r="E13" s="35" t="s">
        <v>81</v>
      </c>
      <c r="F13" s="42">
        <v>17.100000000000001</v>
      </c>
      <c r="G13" s="43">
        <v>82.9</v>
      </c>
      <c r="H13" s="35" t="s">
        <v>91</v>
      </c>
      <c r="I13" s="42">
        <v>17.899999999999999</v>
      </c>
      <c r="J13" s="43">
        <v>82.1</v>
      </c>
    </row>
    <row r="14" spans="2:19" ht="17" thickBot="1" x14ac:dyDescent="0.25">
      <c r="B14" s="36" t="s">
        <v>300</v>
      </c>
      <c r="C14" s="44">
        <v>2059</v>
      </c>
      <c r="D14" s="45">
        <v>5028</v>
      </c>
      <c r="E14" s="36"/>
      <c r="F14" s="44">
        <v>2059</v>
      </c>
      <c r="G14" s="45">
        <v>5028</v>
      </c>
      <c r="H14" s="36"/>
      <c r="I14" s="44">
        <v>2059</v>
      </c>
      <c r="J14" s="45">
        <v>5028</v>
      </c>
    </row>
    <row r="15" spans="2:19" ht="17" thickBot="1" x14ac:dyDescent="0.25"/>
    <row r="16" spans="2:19" ht="17" thickBot="1" x14ac:dyDescent="0.25">
      <c r="B16" s="37" t="s">
        <v>27</v>
      </c>
      <c r="C16" s="31"/>
      <c r="D16" s="32"/>
      <c r="E16" s="37" t="s">
        <v>22</v>
      </c>
      <c r="F16" s="31"/>
      <c r="G16" s="32"/>
      <c r="H16" s="37" t="s">
        <v>21</v>
      </c>
      <c r="I16" s="31"/>
      <c r="J16" s="32"/>
    </row>
    <row r="17" spans="2:14" x14ac:dyDescent="0.2">
      <c r="B17" s="33" t="s">
        <v>71</v>
      </c>
      <c r="C17" s="38" t="s">
        <v>1</v>
      </c>
      <c r="D17" s="39" t="s">
        <v>2</v>
      </c>
      <c r="E17" s="33" t="s">
        <v>71</v>
      </c>
      <c r="F17" s="38" t="s">
        <v>1</v>
      </c>
      <c r="G17" s="39" t="s">
        <v>2</v>
      </c>
      <c r="H17" s="33" t="s">
        <v>71</v>
      </c>
      <c r="I17" s="38" t="s">
        <v>1</v>
      </c>
      <c r="J17" s="39" t="s">
        <v>2</v>
      </c>
    </row>
    <row r="18" spans="2:14" x14ac:dyDescent="0.2">
      <c r="B18" s="34" t="s">
        <v>92</v>
      </c>
      <c r="C18" s="40">
        <v>40.799999999999997</v>
      </c>
      <c r="D18" s="41">
        <v>59.2</v>
      </c>
      <c r="E18" s="34" t="s">
        <v>102</v>
      </c>
      <c r="F18" s="40">
        <v>48.8</v>
      </c>
      <c r="G18" s="41">
        <v>51.2</v>
      </c>
      <c r="H18" s="34" t="s">
        <v>112</v>
      </c>
      <c r="I18" s="40">
        <v>45.4</v>
      </c>
      <c r="J18" s="41">
        <v>54.6</v>
      </c>
    </row>
    <row r="19" spans="2:14" x14ac:dyDescent="0.2">
      <c r="B19" s="35" t="s">
        <v>93</v>
      </c>
      <c r="C19" s="42">
        <v>41.6</v>
      </c>
      <c r="D19" s="43">
        <v>58.4</v>
      </c>
      <c r="E19" s="35" t="s">
        <v>103</v>
      </c>
      <c r="F19" s="42">
        <v>43.9</v>
      </c>
      <c r="G19" s="43">
        <v>56.1</v>
      </c>
      <c r="H19" s="35" t="s">
        <v>113</v>
      </c>
      <c r="I19" s="42">
        <v>42.3</v>
      </c>
      <c r="J19" s="43">
        <v>57.7</v>
      </c>
      <c r="N19" s="20"/>
    </row>
    <row r="20" spans="2:14" x14ac:dyDescent="0.2">
      <c r="B20" s="34" t="s">
        <v>94</v>
      </c>
      <c r="C20" s="40">
        <v>36.6</v>
      </c>
      <c r="D20" s="41">
        <v>63.4</v>
      </c>
      <c r="E20" s="34" t="s">
        <v>104</v>
      </c>
      <c r="F20" s="40">
        <v>35.6</v>
      </c>
      <c r="G20" s="41">
        <v>64.400000000000006</v>
      </c>
      <c r="H20" s="34" t="s">
        <v>114</v>
      </c>
      <c r="I20" s="40">
        <v>38.299999999999997</v>
      </c>
      <c r="J20" s="41">
        <v>61.7</v>
      </c>
      <c r="N20" s="20"/>
    </row>
    <row r="21" spans="2:14" x14ac:dyDescent="0.2">
      <c r="B21" s="35" t="s">
        <v>95</v>
      </c>
      <c r="C21" s="42">
        <v>31</v>
      </c>
      <c r="D21" s="43">
        <v>69</v>
      </c>
      <c r="E21" s="35" t="s">
        <v>105</v>
      </c>
      <c r="F21" s="42">
        <v>30.3</v>
      </c>
      <c r="G21" s="43">
        <v>69.7</v>
      </c>
      <c r="H21" s="35" t="s">
        <v>115</v>
      </c>
      <c r="I21" s="42">
        <v>29.3</v>
      </c>
      <c r="J21" s="43">
        <v>70.7</v>
      </c>
      <c r="N21" s="20"/>
    </row>
    <row r="22" spans="2:14" x14ac:dyDescent="0.2">
      <c r="B22" s="34" t="s">
        <v>96</v>
      </c>
      <c r="C22" s="40">
        <v>27.4</v>
      </c>
      <c r="D22" s="41">
        <v>72.599999999999994</v>
      </c>
      <c r="E22" s="34" t="s">
        <v>106</v>
      </c>
      <c r="F22" s="40">
        <v>25.6</v>
      </c>
      <c r="G22" s="41">
        <v>74.400000000000006</v>
      </c>
      <c r="H22" s="34" t="s">
        <v>116</v>
      </c>
      <c r="I22" s="40">
        <v>27.1</v>
      </c>
      <c r="J22" s="41">
        <v>72.900000000000006</v>
      </c>
      <c r="N22" s="20"/>
    </row>
    <row r="23" spans="2:14" x14ac:dyDescent="0.2">
      <c r="B23" s="35" t="s">
        <v>97</v>
      </c>
      <c r="C23" s="42">
        <v>27.9</v>
      </c>
      <c r="D23" s="43">
        <v>72.099999999999994</v>
      </c>
      <c r="E23" s="35" t="s">
        <v>107</v>
      </c>
      <c r="F23" s="42">
        <v>23.1</v>
      </c>
      <c r="G23" s="43">
        <v>76.900000000000006</v>
      </c>
      <c r="H23" s="35" t="s">
        <v>117</v>
      </c>
      <c r="I23" s="42">
        <v>26.5</v>
      </c>
      <c r="J23" s="43">
        <v>73.5</v>
      </c>
      <c r="N23" s="20"/>
    </row>
    <row r="24" spans="2:14" x14ac:dyDescent="0.2">
      <c r="B24" s="34" t="s">
        <v>98</v>
      </c>
      <c r="C24" s="40">
        <v>26.5</v>
      </c>
      <c r="D24" s="41">
        <v>73.5</v>
      </c>
      <c r="E24" s="34" t="s">
        <v>108</v>
      </c>
      <c r="F24" s="40">
        <v>25</v>
      </c>
      <c r="G24" s="41">
        <v>75</v>
      </c>
      <c r="H24" s="34" t="s">
        <v>118</v>
      </c>
      <c r="I24" s="40">
        <v>20.7</v>
      </c>
      <c r="J24" s="41">
        <v>79.3</v>
      </c>
      <c r="N24" s="20"/>
    </row>
    <row r="25" spans="2:14" x14ac:dyDescent="0.2">
      <c r="B25" s="35" t="s">
        <v>99</v>
      </c>
      <c r="C25" s="42">
        <v>21.9</v>
      </c>
      <c r="D25" s="43">
        <v>78.099999999999994</v>
      </c>
      <c r="E25" s="35" t="s">
        <v>109</v>
      </c>
      <c r="F25" s="42">
        <v>20.5</v>
      </c>
      <c r="G25" s="43">
        <v>79.5</v>
      </c>
      <c r="H25" s="35" t="s">
        <v>119</v>
      </c>
      <c r="I25" s="42">
        <v>21.2</v>
      </c>
      <c r="J25" s="43">
        <v>78.8</v>
      </c>
      <c r="N25" s="20"/>
    </row>
    <row r="26" spans="2:14" x14ac:dyDescent="0.2">
      <c r="B26" s="34" t="s">
        <v>100</v>
      </c>
      <c r="C26" s="40">
        <v>21.6</v>
      </c>
      <c r="D26" s="41">
        <v>78.400000000000006</v>
      </c>
      <c r="E26" s="34" t="s">
        <v>110</v>
      </c>
      <c r="F26" s="40">
        <v>19.5</v>
      </c>
      <c r="G26" s="41">
        <v>80.5</v>
      </c>
      <c r="H26" s="34" t="s">
        <v>120</v>
      </c>
      <c r="I26" s="40">
        <v>21.2</v>
      </c>
      <c r="J26" s="41">
        <v>78.8</v>
      </c>
      <c r="N26" s="20"/>
    </row>
    <row r="27" spans="2:14" x14ac:dyDescent="0.2">
      <c r="B27" s="46" t="s">
        <v>101</v>
      </c>
      <c r="C27" s="47">
        <v>15.2</v>
      </c>
      <c r="D27" s="48">
        <v>84.8</v>
      </c>
      <c r="E27" s="35" t="s">
        <v>111</v>
      </c>
      <c r="F27" s="42">
        <v>18.3</v>
      </c>
      <c r="G27" s="43">
        <v>81.7</v>
      </c>
      <c r="H27" s="35" t="s">
        <v>121</v>
      </c>
      <c r="I27" s="42">
        <v>18.5</v>
      </c>
      <c r="J27" s="43">
        <v>81.5</v>
      </c>
      <c r="N27" s="20"/>
    </row>
    <row r="28" spans="2:14" ht="17" thickBot="1" x14ac:dyDescent="0.25">
      <c r="B28" s="36" t="s">
        <v>300</v>
      </c>
      <c r="C28" s="44">
        <v>2059</v>
      </c>
      <c r="D28" s="45">
        <v>5028</v>
      </c>
      <c r="E28" s="36"/>
      <c r="F28" s="44">
        <v>2059</v>
      </c>
      <c r="G28" s="45">
        <v>5028</v>
      </c>
      <c r="H28" s="36"/>
      <c r="I28" s="44">
        <v>2059</v>
      </c>
      <c r="J28" s="45">
        <v>5028</v>
      </c>
      <c r="N28" s="20"/>
    </row>
    <row r="29" spans="2:14" x14ac:dyDescent="0.2">
      <c r="B29" s="20" t="s">
        <v>59</v>
      </c>
    </row>
    <row r="30" spans="2:14" x14ac:dyDescent="0.2">
      <c r="B30" s="20" t="s">
        <v>59</v>
      </c>
    </row>
    <row r="31" spans="2:14" x14ac:dyDescent="0.2">
      <c r="B31" s="20" t="s">
        <v>59</v>
      </c>
    </row>
    <row r="32" spans="2:14" x14ac:dyDescent="0.2">
      <c r="B32" s="20" t="s">
        <v>59</v>
      </c>
    </row>
    <row r="33" spans="2:3" x14ac:dyDescent="0.2">
      <c r="B33" s="20" t="s">
        <v>59</v>
      </c>
      <c r="C33" t="s">
        <v>60</v>
      </c>
    </row>
    <row r="34" spans="2:3" x14ac:dyDescent="0.2">
      <c r="B34" s="20" t="s">
        <v>59</v>
      </c>
      <c r="C34" t="s">
        <v>60</v>
      </c>
    </row>
    <row r="35" spans="2:3" x14ac:dyDescent="0.2">
      <c r="B35" s="20" t="s">
        <v>59</v>
      </c>
      <c r="C35" t="s">
        <v>60</v>
      </c>
    </row>
    <row r="36" spans="2:3" x14ac:dyDescent="0.2">
      <c r="B36" s="20" t="s">
        <v>59</v>
      </c>
      <c r="C36" t="s">
        <v>60</v>
      </c>
    </row>
    <row r="37" spans="2:3" x14ac:dyDescent="0.2">
      <c r="B37" s="20" t="s">
        <v>59</v>
      </c>
      <c r="C37" t="s">
        <v>60</v>
      </c>
    </row>
    <row r="38" spans="2:3" x14ac:dyDescent="0.2">
      <c r="B38" s="20" t="s">
        <v>59</v>
      </c>
      <c r="C38" t="s">
        <v>60</v>
      </c>
    </row>
    <row r="39" spans="2:3" x14ac:dyDescent="0.2">
      <c r="B39" s="20" t="s">
        <v>59</v>
      </c>
      <c r="C39" t="s">
        <v>60</v>
      </c>
    </row>
    <row r="40" spans="2:3" x14ac:dyDescent="0.2">
      <c r="B40" s="20" t="s">
        <v>59</v>
      </c>
      <c r="C40" t="s">
        <v>60</v>
      </c>
    </row>
    <row r="41" spans="2:3" x14ac:dyDescent="0.2">
      <c r="B41" s="20" t="s">
        <v>59</v>
      </c>
      <c r="C41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0F63-496D-4B43-852C-26B42E5DD205}">
  <dimension ref="B1:Q28"/>
  <sheetViews>
    <sheetView showGridLines="0" workbookViewId="0"/>
  </sheetViews>
  <sheetFormatPr baseColWidth="10" defaultRowHeight="16" x14ac:dyDescent="0.2"/>
  <cols>
    <col min="1" max="1" width="2.83203125" customWidth="1"/>
    <col min="2" max="2" width="14.33203125" customWidth="1"/>
    <col min="3" max="4" width="8.1640625" customWidth="1"/>
    <col min="5" max="5" width="14.33203125" customWidth="1"/>
    <col min="6" max="7" width="8.1640625" customWidth="1"/>
    <col min="8" max="8" width="14.33203125" customWidth="1"/>
    <col min="9" max="10" width="8.1640625" customWidth="1"/>
    <col min="11" max="11" width="2.83203125" customWidth="1"/>
    <col min="12" max="12" width="11.6640625" bestFit="1" customWidth="1"/>
    <col min="13" max="13" width="9" bestFit="1" customWidth="1"/>
    <col min="14" max="14" width="7" bestFit="1" customWidth="1"/>
    <col min="15" max="15" width="6.1640625" bestFit="1" customWidth="1"/>
    <col min="16" max="16" width="7" bestFit="1" customWidth="1"/>
    <col min="17" max="17" width="6.1640625" bestFit="1" customWidth="1"/>
  </cols>
  <sheetData>
    <row r="1" spans="2:17" ht="17" thickBot="1" x14ac:dyDescent="0.25"/>
    <row r="2" spans="2:17" ht="17" thickBot="1" x14ac:dyDescent="0.25">
      <c r="B2" s="37" t="s">
        <v>27</v>
      </c>
      <c r="C2" s="31"/>
      <c r="D2" s="32"/>
      <c r="E2" s="37" t="s">
        <v>301</v>
      </c>
      <c r="F2" s="31"/>
      <c r="G2" s="32"/>
      <c r="H2" s="37" t="s">
        <v>302</v>
      </c>
      <c r="I2" s="31"/>
      <c r="J2" s="32"/>
      <c r="M2" s="2"/>
      <c r="N2" s="3" t="s">
        <v>1</v>
      </c>
      <c r="O2" s="3"/>
      <c r="P2" s="3" t="s">
        <v>2</v>
      </c>
      <c r="Q2" s="3"/>
    </row>
    <row r="3" spans="2:17" x14ac:dyDescent="0.2">
      <c r="B3" s="33" t="s">
        <v>71</v>
      </c>
      <c r="C3" s="38" t="s">
        <v>1</v>
      </c>
      <c r="D3" s="39" t="s">
        <v>2</v>
      </c>
      <c r="E3" s="33" t="s">
        <v>71</v>
      </c>
      <c r="F3" s="38" t="s">
        <v>1</v>
      </c>
      <c r="G3" s="39" t="s">
        <v>2</v>
      </c>
      <c r="H3" s="33" t="s">
        <v>71</v>
      </c>
      <c r="I3" s="38" t="s">
        <v>1</v>
      </c>
      <c r="J3" s="39" t="s">
        <v>2</v>
      </c>
      <c r="L3" s="5"/>
      <c r="M3" s="17" t="s">
        <v>0</v>
      </c>
      <c r="N3" s="6">
        <v>3454</v>
      </c>
      <c r="O3" s="7">
        <f>N3/(N3+P3)</f>
        <v>0.32289426942133309</v>
      </c>
      <c r="P3" s="6">
        <v>7243</v>
      </c>
      <c r="Q3" s="8">
        <f>P3/(N3+P3)</f>
        <v>0.67710573057866696</v>
      </c>
    </row>
    <row r="4" spans="2:17" x14ac:dyDescent="0.2">
      <c r="B4" s="34" t="s">
        <v>92</v>
      </c>
      <c r="C4" s="40">
        <v>40.799999999999997</v>
      </c>
      <c r="D4" s="41">
        <v>59.2</v>
      </c>
      <c r="E4" s="34" t="s">
        <v>241</v>
      </c>
      <c r="F4" s="40">
        <v>45.8</v>
      </c>
      <c r="G4" s="41">
        <v>54.2</v>
      </c>
      <c r="H4" s="34" t="s">
        <v>251</v>
      </c>
      <c r="I4" s="40">
        <v>46.4</v>
      </c>
      <c r="J4" s="41">
        <v>53.6</v>
      </c>
      <c r="L4" s="9" t="s">
        <v>5</v>
      </c>
      <c r="M4" s="18" t="s">
        <v>3</v>
      </c>
      <c r="N4" s="10">
        <v>1395</v>
      </c>
      <c r="O4" s="11">
        <f>N4/(N4+P4)</f>
        <v>0.38642659279778391</v>
      </c>
      <c r="P4" s="10">
        <v>2215</v>
      </c>
      <c r="Q4" s="12">
        <f>P4/(N4+P4)</f>
        <v>0.61357340720221609</v>
      </c>
    </row>
    <row r="5" spans="2:17" ht="17" thickBot="1" x14ac:dyDescent="0.25">
      <c r="B5" s="35" t="s">
        <v>93</v>
      </c>
      <c r="C5" s="42">
        <v>41.6</v>
      </c>
      <c r="D5" s="43">
        <v>58.4</v>
      </c>
      <c r="E5" s="35" t="s">
        <v>242</v>
      </c>
      <c r="F5" s="42">
        <v>42.3</v>
      </c>
      <c r="G5" s="43">
        <v>57.7</v>
      </c>
      <c r="H5" s="35" t="s">
        <v>252</v>
      </c>
      <c r="I5" s="42">
        <v>37.9</v>
      </c>
      <c r="J5" s="43">
        <v>62.1</v>
      </c>
      <c r="L5" s="13"/>
      <c r="M5" s="19" t="s">
        <v>4</v>
      </c>
      <c r="N5" s="14">
        <v>2059</v>
      </c>
      <c r="O5" s="52">
        <f>N5/(N5+P5)</f>
        <v>0.29053195992662623</v>
      </c>
      <c r="P5" s="14">
        <v>5028</v>
      </c>
      <c r="Q5" s="53">
        <f>P5/(N5+P5)</f>
        <v>0.70946804007337383</v>
      </c>
    </row>
    <row r="6" spans="2:17" x14ac:dyDescent="0.2">
      <c r="B6" s="34" t="s">
        <v>94</v>
      </c>
      <c r="C6" s="40">
        <v>36.6</v>
      </c>
      <c r="D6" s="41">
        <v>63.4</v>
      </c>
      <c r="E6" s="34" t="s">
        <v>243</v>
      </c>
      <c r="F6" s="40">
        <v>38.700000000000003</v>
      </c>
      <c r="G6" s="41">
        <v>61.3</v>
      </c>
      <c r="H6" s="34" t="s">
        <v>253</v>
      </c>
      <c r="I6" s="40">
        <v>33.9</v>
      </c>
      <c r="J6" s="41">
        <v>66.099999999999994</v>
      </c>
    </row>
    <row r="7" spans="2:17" x14ac:dyDescent="0.2">
      <c r="B7" s="35" t="s">
        <v>95</v>
      </c>
      <c r="C7" s="42">
        <v>31</v>
      </c>
      <c r="D7" s="43">
        <v>69</v>
      </c>
      <c r="E7" s="35" t="s">
        <v>244</v>
      </c>
      <c r="F7" s="42">
        <v>31.6</v>
      </c>
      <c r="G7" s="43">
        <v>68.400000000000006</v>
      </c>
      <c r="H7" s="35" t="s">
        <v>254</v>
      </c>
      <c r="I7" s="42">
        <v>31.2</v>
      </c>
      <c r="J7" s="43">
        <v>68.8</v>
      </c>
    </row>
    <row r="8" spans="2:17" x14ac:dyDescent="0.2">
      <c r="B8" s="34" t="s">
        <v>96</v>
      </c>
      <c r="C8" s="40">
        <v>27.4</v>
      </c>
      <c r="D8" s="41">
        <v>72.599999999999994</v>
      </c>
      <c r="E8" s="34" t="s">
        <v>245</v>
      </c>
      <c r="F8" s="40">
        <v>27.8</v>
      </c>
      <c r="G8" s="41">
        <v>72.2</v>
      </c>
      <c r="H8" s="34" t="s">
        <v>255</v>
      </c>
      <c r="I8" s="40">
        <v>30.2</v>
      </c>
      <c r="J8" s="41">
        <v>69.8</v>
      </c>
      <c r="O8" s="4"/>
      <c r="Q8" s="1"/>
    </row>
    <row r="9" spans="2:17" x14ac:dyDescent="0.2">
      <c r="B9" s="35" t="s">
        <v>97</v>
      </c>
      <c r="C9" s="42">
        <v>27.9</v>
      </c>
      <c r="D9" s="43">
        <v>72.099999999999994</v>
      </c>
      <c r="E9" s="35" t="s">
        <v>246</v>
      </c>
      <c r="F9" s="42">
        <v>25.7</v>
      </c>
      <c r="G9" s="43">
        <v>74.3</v>
      </c>
      <c r="H9" s="35" t="s">
        <v>256</v>
      </c>
      <c r="I9" s="42">
        <v>25.5</v>
      </c>
      <c r="J9" s="43">
        <v>74.5</v>
      </c>
    </row>
    <row r="10" spans="2:17" x14ac:dyDescent="0.2">
      <c r="B10" s="34" t="s">
        <v>98</v>
      </c>
      <c r="C10" s="40">
        <v>26.5</v>
      </c>
      <c r="D10" s="41">
        <v>73.5</v>
      </c>
      <c r="E10" s="34" t="s">
        <v>247</v>
      </c>
      <c r="F10" s="40">
        <v>23</v>
      </c>
      <c r="G10" s="41">
        <v>77</v>
      </c>
      <c r="H10" s="34" t="s">
        <v>257</v>
      </c>
      <c r="I10" s="40">
        <v>24.5</v>
      </c>
      <c r="J10" s="41">
        <v>75.5</v>
      </c>
    </row>
    <row r="11" spans="2:17" x14ac:dyDescent="0.2">
      <c r="B11" s="35" t="s">
        <v>99</v>
      </c>
      <c r="C11" s="42">
        <v>21.9</v>
      </c>
      <c r="D11" s="43">
        <v>78.099999999999994</v>
      </c>
      <c r="E11" s="35" t="s">
        <v>248</v>
      </c>
      <c r="F11" s="42">
        <v>20.8</v>
      </c>
      <c r="G11" s="43">
        <v>79.2</v>
      </c>
      <c r="H11" s="35" t="s">
        <v>258</v>
      </c>
      <c r="I11" s="42">
        <v>21.9</v>
      </c>
      <c r="J11" s="43">
        <v>78.099999999999994</v>
      </c>
    </row>
    <row r="12" spans="2:17" x14ac:dyDescent="0.2">
      <c r="B12" s="34" t="s">
        <v>100</v>
      </c>
      <c r="C12" s="40">
        <v>21.6</v>
      </c>
      <c r="D12" s="41">
        <v>78.400000000000006</v>
      </c>
      <c r="E12" s="34" t="s">
        <v>249</v>
      </c>
      <c r="F12" s="40">
        <v>20</v>
      </c>
      <c r="G12" s="41">
        <v>80</v>
      </c>
      <c r="H12" s="34" t="s">
        <v>259</v>
      </c>
      <c r="I12" s="40">
        <v>20.5</v>
      </c>
      <c r="J12" s="41">
        <v>79.5</v>
      </c>
    </row>
    <row r="13" spans="2:17" x14ac:dyDescent="0.2">
      <c r="B13" s="46" t="s">
        <v>101</v>
      </c>
      <c r="C13" s="47">
        <v>15.2</v>
      </c>
      <c r="D13" s="48">
        <v>84.8</v>
      </c>
      <c r="E13" s="49" t="s">
        <v>250</v>
      </c>
      <c r="F13" s="50">
        <v>14.8</v>
      </c>
      <c r="G13" s="51">
        <v>85.2</v>
      </c>
      <c r="H13" s="35" t="s">
        <v>260</v>
      </c>
      <c r="I13" s="42">
        <v>18.5</v>
      </c>
      <c r="J13" s="43">
        <v>81.5</v>
      </c>
    </row>
    <row r="14" spans="2:17" ht="17" thickBot="1" x14ac:dyDescent="0.25">
      <c r="B14" s="36" t="s">
        <v>300</v>
      </c>
      <c r="C14" s="44">
        <v>2059</v>
      </c>
      <c r="D14" s="45">
        <v>5028</v>
      </c>
      <c r="E14" s="36"/>
      <c r="F14" s="44">
        <v>2059</v>
      </c>
      <c r="G14" s="45">
        <v>5028</v>
      </c>
      <c r="H14" s="36"/>
      <c r="I14" s="44">
        <v>2059</v>
      </c>
      <c r="J14" s="45">
        <v>5028</v>
      </c>
    </row>
    <row r="16" spans="2:17" x14ac:dyDescent="0.2">
      <c r="B16" s="20" t="s">
        <v>59</v>
      </c>
    </row>
    <row r="17" spans="2:14" x14ac:dyDescent="0.2">
      <c r="B17" s="20" t="s">
        <v>59</v>
      </c>
    </row>
    <row r="18" spans="2:14" x14ac:dyDescent="0.2">
      <c r="B18" s="20" t="s">
        <v>59</v>
      </c>
    </row>
    <row r="19" spans="2:14" x14ac:dyDescent="0.2">
      <c r="B19" s="20" t="s">
        <v>59</v>
      </c>
      <c r="N19" s="20"/>
    </row>
    <row r="20" spans="2:14" x14ac:dyDescent="0.2">
      <c r="B20" s="20" t="s">
        <v>59</v>
      </c>
      <c r="C20" t="s">
        <v>60</v>
      </c>
      <c r="N20" s="20"/>
    </row>
    <row r="21" spans="2:14" x14ac:dyDescent="0.2">
      <c r="B21" s="20" t="s">
        <v>59</v>
      </c>
      <c r="C21" t="s">
        <v>60</v>
      </c>
      <c r="N21" s="20"/>
    </row>
    <row r="22" spans="2:14" x14ac:dyDescent="0.2">
      <c r="B22" s="20" t="s">
        <v>59</v>
      </c>
      <c r="C22" t="s">
        <v>60</v>
      </c>
      <c r="N22" s="20"/>
    </row>
    <row r="23" spans="2:14" x14ac:dyDescent="0.2">
      <c r="B23" s="20" t="s">
        <v>59</v>
      </c>
      <c r="C23" t="s">
        <v>60</v>
      </c>
      <c r="N23" s="20"/>
    </row>
    <row r="24" spans="2:14" x14ac:dyDescent="0.2">
      <c r="B24" s="20" t="s">
        <v>59</v>
      </c>
      <c r="C24" t="s">
        <v>60</v>
      </c>
      <c r="N24" s="20"/>
    </row>
    <row r="25" spans="2:14" x14ac:dyDescent="0.2">
      <c r="B25" s="20" t="s">
        <v>59</v>
      </c>
      <c r="C25" t="s">
        <v>60</v>
      </c>
      <c r="N25" s="20"/>
    </row>
    <row r="26" spans="2:14" x14ac:dyDescent="0.2">
      <c r="B26" s="20" t="s">
        <v>59</v>
      </c>
      <c r="C26" t="s">
        <v>60</v>
      </c>
      <c r="N26" s="20"/>
    </row>
    <row r="27" spans="2:14" x14ac:dyDescent="0.2">
      <c r="B27" s="20" t="s">
        <v>59</v>
      </c>
      <c r="C27" t="s">
        <v>60</v>
      </c>
      <c r="N27" s="20"/>
    </row>
    <row r="28" spans="2:14" x14ac:dyDescent="0.2">
      <c r="B28" s="20" t="s">
        <v>59</v>
      </c>
      <c r="C28" t="s">
        <v>60</v>
      </c>
      <c r="N28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2886-C3CA-C24E-BC37-97146AA4586A}">
  <dimension ref="B2:O45"/>
  <sheetViews>
    <sheetView showGridLines="0" workbookViewId="0">
      <selection activeCell="K23" sqref="K23"/>
    </sheetView>
  </sheetViews>
  <sheetFormatPr baseColWidth="10" defaultRowHeight="16" x14ac:dyDescent="0.2"/>
  <cols>
    <col min="1" max="1" width="2.83203125" style="23" customWidth="1"/>
    <col min="2" max="2" width="14" style="23" bestFit="1" customWidth="1"/>
    <col min="3" max="10" width="10.83203125" style="23"/>
    <col min="11" max="11" width="34.5" style="23" bestFit="1" customWidth="1"/>
    <col min="12" max="13" width="10.83203125" style="23"/>
    <col min="14" max="14" width="11" style="23" customWidth="1"/>
    <col min="15" max="15" width="14.1640625" style="23" customWidth="1"/>
    <col min="16" max="16384" width="10.83203125" style="23"/>
  </cols>
  <sheetData>
    <row r="2" spans="2:15" x14ac:dyDescent="0.2">
      <c r="B2" s="21" t="s">
        <v>8</v>
      </c>
      <c r="C2" s="22" t="s">
        <v>10</v>
      </c>
      <c r="D2" s="22" t="s">
        <v>11</v>
      </c>
      <c r="E2" s="22" t="s">
        <v>12</v>
      </c>
      <c r="F2" s="22" t="s">
        <v>13</v>
      </c>
      <c r="G2" s="22" t="s">
        <v>14</v>
      </c>
      <c r="H2" s="22" t="s">
        <v>15</v>
      </c>
      <c r="I2" s="22" t="s">
        <v>16</v>
      </c>
      <c r="K2" s="21" t="s">
        <v>6</v>
      </c>
      <c r="L2" s="24" t="s">
        <v>9</v>
      </c>
      <c r="M2" s="24" t="s">
        <v>31</v>
      </c>
      <c r="N2" s="24" t="s">
        <v>47</v>
      </c>
      <c r="O2" s="24" t="s">
        <v>48</v>
      </c>
    </row>
    <row r="3" spans="2:15" x14ac:dyDescent="0.2">
      <c r="B3" s="25" t="s">
        <v>17</v>
      </c>
      <c r="C3" s="26">
        <v>0.58544510000000005</v>
      </c>
      <c r="D3" s="26">
        <v>0.63515880000000002</v>
      </c>
      <c r="E3" s="26">
        <v>0.66506209999999999</v>
      </c>
      <c r="F3" s="26">
        <v>0.65915310000000005</v>
      </c>
      <c r="G3" s="26">
        <v>0.68774460000000004</v>
      </c>
      <c r="H3" s="26">
        <v>0.72397610000000001</v>
      </c>
      <c r="I3" s="25">
        <v>0</v>
      </c>
      <c r="K3" s="27" t="s">
        <v>54</v>
      </c>
      <c r="L3" s="28">
        <v>0.65915310000000005</v>
      </c>
      <c r="M3" s="28">
        <v>0.32600600000000002</v>
      </c>
      <c r="N3" s="28">
        <v>0.85691010000000001</v>
      </c>
      <c r="O3" s="30" t="s">
        <v>34</v>
      </c>
    </row>
    <row r="4" spans="2:15" x14ac:dyDescent="0.2">
      <c r="B4" s="27" t="s">
        <v>18</v>
      </c>
      <c r="C4" s="28">
        <v>0.56231299999999995</v>
      </c>
      <c r="D4" s="28">
        <v>0.61447669999999999</v>
      </c>
      <c r="E4" s="28">
        <v>0.64295530000000001</v>
      </c>
      <c r="F4" s="28">
        <v>0.63723730000000001</v>
      </c>
      <c r="G4" s="28">
        <v>0.66258150000000005</v>
      </c>
      <c r="H4" s="28">
        <v>0.70228820000000003</v>
      </c>
      <c r="I4" s="27">
        <v>0</v>
      </c>
      <c r="K4" s="27" t="s">
        <v>49</v>
      </c>
      <c r="L4" s="28">
        <v>0.63723730000000001</v>
      </c>
      <c r="M4" s="28">
        <v>0.3536976</v>
      </c>
      <c r="N4" s="28">
        <v>0.8178339</v>
      </c>
      <c r="O4" s="30" t="s">
        <v>35</v>
      </c>
    </row>
    <row r="5" spans="2:15" x14ac:dyDescent="0.2">
      <c r="B5" s="27" t="s">
        <v>19</v>
      </c>
      <c r="C5" s="28">
        <v>0.53323109999999996</v>
      </c>
      <c r="D5" s="28">
        <v>0.5679767</v>
      </c>
      <c r="E5" s="28">
        <v>0.57956819999999998</v>
      </c>
      <c r="F5" s="28">
        <v>0.58850970000000002</v>
      </c>
      <c r="G5" s="28">
        <v>0.61340150000000004</v>
      </c>
      <c r="H5" s="28">
        <v>0.65436850000000002</v>
      </c>
      <c r="I5" s="27">
        <v>0</v>
      </c>
      <c r="K5" s="27" t="s">
        <v>52</v>
      </c>
      <c r="L5" s="28">
        <v>0.58850970000000002</v>
      </c>
      <c r="M5" s="28">
        <v>0.10766829999999999</v>
      </c>
      <c r="N5" s="28">
        <v>0.93712589999999996</v>
      </c>
      <c r="O5" s="30" t="s">
        <v>36</v>
      </c>
    </row>
    <row r="6" spans="2:15" x14ac:dyDescent="0.2">
      <c r="B6" s="27" t="s">
        <v>20</v>
      </c>
      <c r="C6" s="28">
        <v>0.56521200000000005</v>
      </c>
      <c r="D6" s="28">
        <v>0.6274189</v>
      </c>
      <c r="E6" s="28">
        <v>0.64941870000000002</v>
      </c>
      <c r="F6" s="28">
        <v>0.64433339999999995</v>
      </c>
      <c r="G6" s="28">
        <v>0.66763819999999996</v>
      </c>
      <c r="H6" s="28">
        <v>0.69846629999999998</v>
      </c>
      <c r="I6" s="27">
        <v>0</v>
      </c>
      <c r="K6" s="27" t="s">
        <v>56</v>
      </c>
      <c r="L6" s="28">
        <v>0.64433339999999995</v>
      </c>
      <c r="M6" s="28">
        <v>0.19705900000000001</v>
      </c>
      <c r="N6" s="28">
        <v>0.92845259999999996</v>
      </c>
      <c r="O6" s="30" t="s">
        <v>37</v>
      </c>
    </row>
    <row r="7" spans="2:15" x14ac:dyDescent="0.2">
      <c r="B7" s="27" t="s">
        <v>21</v>
      </c>
      <c r="C7" s="28">
        <v>0.58700719999999995</v>
      </c>
      <c r="D7" s="28">
        <v>0.63994830000000003</v>
      </c>
      <c r="E7" s="28">
        <v>0.65634970000000004</v>
      </c>
      <c r="F7" s="28">
        <v>0.65295020000000004</v>
      </c>
      <c r="G7" s="28">
        <v>0.66921649999999999</v>
      </c>
      <c r="H7" s="28">
        <v>0.70615159999999999</v>
      </c>
      <c r="I7" s="27">
        <v>0</v>
      </c>
      <c r="K7" s="27" t="s">
        <v>57</v>
      </c>
      <c r="L7" s="28">
        <v>0.65295020000000004</v>
      </c>
      <c r="M7" s="28">
        <v>0.1974436</v>
      </c>
      <c r="N7" s="28">
        <v>0.92518840000000002</v>
      </c>
      <c r="O7" s="30" t="s">
        <v>38</v>
      </c>
    </row>
    <row r="8" spans="2:15" x14ac:dyDescent="0.2">
      <c r="B8" s="27" t="s">
        <v>22</v>
      </c>
      <c r="C8" s="28">
        <v>0.57789069999999998</v>
      </c>
      <c r="D8" s="28">
        <v>0.61896099999999998</v>
      </c>
      <c r="E8" s="28">
        <v>0.63592939999999998</v>
      </c>
      <c r="F8" s="28">
        <v>0.64228649999999998</v>
      </c>
      <c r="G8" s="28">
        <v>0.66484209999999999</v>
      </c>
      <c r="H8" s="28">
        <v>0.71568560000000003</v>
      </c>
      <c r="I8" s="27">
        <v>0</v>
      </c>
      <c r="K8" s="27" t="s">
        <v>56</v>
      </c>
      <c r="L8" s="28">
        <v>0.64228649999999998</v>
      </c>
      <c r="M8" s="28">
        <v>0.26430199999999998</v>
      </c>
      <c r="N8" s="28">
        <v>0.88813410000000004</v>
      </c>
      <c r="O8" s="30" t="s">
        <v>39</v>
      </c>
    </row>
    <row r="9" spans="2:15" x14ac:dyDescent="0.2">
      <c r="B9" s="27" t="s">
        <v>23</v>
      </c>
      <c r="C9" s="28">
        <v>0.54276389999999997</v>
      </c>
      <c r="D9" s="28">
        <v>0.58091570000000003</v>
      </c>
      <c r="E9" s="28">
        <v>0.60529520000000003</v>
      </c>
      <c r="F9" s="28">
        <v>0.60153659999999998</v>
      </c>
      <c r="G9" s="28">
        <v>0.62128890000000003</v>
      </c>
      <c r="H9" s="28">
        <v>0.65426130000000005</v>
      </c>
      <c r="I9" s="27">
        <v>0</v>
      </c>
      <c r="K9" s="27" t="s">
        <v>51</v>
      </c>
      <c r="L9" s="28">
        <v>0.60153659999999998</v>
      </c>
      <c r="M9" s="28">
        <v>0.30370629999999998</v>
      </c>
      <c r="N9" s="28">
        <v>0.81843270000000001</v>
      </c>
      <c r="O9" s="30" t="s">
        <v>40</v>
      </c>
    </row>
    <row r="10" spans="2:15" x14ac:dyDescent="0.2">
      <c r="B10" s="27" t="s">
        <v>24</v>
      </c>
      <c r="C10" s="28">
        <v>0.52330299999999996</v>
      </c>
      <c r="D10" s="28">
        <v>0.55944539999999998</v>
      </c>
      <c r="E10" s="28">
        <v>0.58291910000000002</v>
      </c>
      <c r="F10" s="28">
        <v>0.58262460000000005</v>
      </c>
      <c r="G10" s="28">
        <v>0.60457709999999998</v>
      </c>
      <c r="H10" s="28">
        <v>0.63568230000000003</v>
      </c>
      <c r="I10" s="27">
        <v>0</v>
      </c>
      <c r="K10" s="27" t="s">
        <v>58</v>
      </c>
      <c r="L10" s="28">
        <v>0.58262460000000005</v>
      </c>
      <c r="M10" s="28">
        <v>6.7590819999999996E-2</v>
      </c>
      <c r="N10" s="28">
        <v>0.96111460000000004</v>
      </c>
      <c r="O10" s="30" t="s">
        <v>41</v>
      </c>
    </row>
    <row r="11" spans="2:15" x14ac:dyDescent="0.2">
      <c r="B11" s="27" t="s">
        <v>25</v>
      </c>
      <c r="C11" s="28">
        <v>0.53057279999999996</v>
      </c>
      <c r="D11" s="28">
        <v>0.56245650000000003</v>
      </c>
      <c r="E11" s="28">
        <v>0.57922300000000004</v>
      </c>
      <c r="F11" s="28">
        <v>0.58604820000000002</v>
      </c>
      <c r="G11" s="28">
        <v>0.61570849999999999</v>
      </c>
      <c r="H11" s="28">
        <v>0.64458629999999995</v>
      </c>
      <c r="I11" s="27">
        <v>0</v>
      </c>
      <c r="K11" s="27" t="s">
        <v>58</v>
      </c>
      <c r="L11" s="28">
        <v>0.58604820000000002</v>
      </c>
      <c r="M11" s="28">
        <v>6.1843460000000003E-2</v>
      </c>
      <c r="N11" s="28">
        <v>0.96233999999999997</v>
      </c>
      <c r="O11" s="30" t="s">
        <v>42</v>
      </c>
    </row>
    <row r="12" spans="2:15" x14ac:dyDescent="0.2">
      <c r="B12" s="27" t="s">
        <v>26</v>
      </c>
      <c r="C12" s="28">
        <v>0.57404739999999999</v>
      </c>
      <c r="D12" s="28">
        <v>0.61893920000000002</v>
      </c>
      <c r="E12" s="28">
        <v>0.63700290000000004</v>
      </c>
      <c r="F12" s="28">
        <v>0.63930810000000005</v>
      </c>
      <c r="G12" s="28">
        <v>0.66281210000000002</v>
      </c>
      <c r="H12" s="28">
        <v>0.68958710000000001</v>
      </c>
      <c r="I12" s="27">
        <v>0</v>
      </c>
      <c r="K12" s="27" t="s">
        <v>55</v>
      </c>
      <c r="L12" s="28">
        <v>0.63930810000000005</v>
      </c>
      <c r="M12" s="28">
        <v>0.24954860000000001</v>
      </c>
      <c r="N12" s="28">
        <v>0.90007789999999999</v>
      </c>
      <c r="O12" s="30" t="s">
        <v>43</v>
      </c>
    </row>
    <row r="13" spans="2:15" x14ac:dyDescent="0.2">
      <c r="B13" s="27" t="s">
        <v>27</v>
      </c>
      <c r="C13" s="28">
        <v>0.58580710000000003</v>
      </c>
      <c r="D13" s="28">
        <v>0.62386569999999997</v>
      </c>
      <c r="E13" s="28">
        <v>0.6580125</v>
      </c>
      <c r="F13" s="28">
        <v>0.65275729999999998</v>
      </c>
      <c r="G13" s="28">
        <v>0.67877109999999996</v>
      </c>
      <c r="H13" s="28">
        <v>0.70938480000000004</v>
      </c>
      <c r="I13" s="27">
        <v>0</v>
      </c>
      <c r="K13" s="27" t="s">
        <v>53</v>
      </c>
      <c r="L13" s="28">
        <v>0.65275729999999998</v>
      </c>
      <c r="M13" s="28">
        <v>0.28516609999999998</v>
      </c>
      <c r="N13" s="28">
        <v>0.88334429999999997</v>
      </c>
      <c r="O13" s="30" t="s">
        <v>44</v>
      </c>
    </row>
    <row r="14" spans="2:15" x14ac:dyDescent="0.2">
      <c r="B14" s="27" t="s">
        <v>28</v>
      </c>
      <c r="C14" s="28">
        <v>0.56335349999999995</v>
      </c>
      <c r="D14" s="28">
        <v>0.58868909999999997</v>
      </c>
      <c r="E14" s="28">
        <v>0.60907929999999999</v>
      </c>
      <c r="F14" s="28">
        <v>0.6091434</v>
      </c>
      <c r="G14" s="28">
        <v>0.62542609999999998</v>
      </c>
      <c r="H14" s="28">
        <v>0.65868249999999995</v>
      </c>
      <c r="I14" s="27">
        <v>0</v>
      </c>
      <c r="K14" s="27" t="s">
        <v>28</v>
      </c>
      <c r="L14" s="28">
        <v>0.6091434</v>
      </c>
      <c r="M14" s="28">
        <v>0.28869220000000001</v>
      </c>
      <c r="N14" s="28">
        <v>0.86416610000000005</v>
      </c>
      <c r="O14" s="30" t="s">
        <v>45</v>
      </c>
    </row>
    <row r="15" spans="2:15" x14ac:dyDescent="0.2">
      <c r="B15" s="27" t="s">
        <v>29</v>
      </c>
      <c r="C15" s="28">
        <v>0.54024300000000003</v>
      </c>
      <c r="D15" s="28">
        <v>0.57611760000000001</v>
      </c>
      <c r="E15" s="28">
        <v>0.59002259999999995</v>
      </c>
      <c r="F15" s="28">
        <v>0.59499340000000001</v>
      </c>
      <c r="G15" s="28">
        <v>0.6189808</v>
      </c>
      <c r="H15" s="28">
        <v>0.65186540000000004</v>
      </c>
      <c r="I15" s="27">
        <v>0</v>
      </c>
      <c r="K15" s="27" t="s">
        <v>50</v>
      </c>
      <c r="L15" s="28">
        <v>0.59499340000000001</v>
      </c>
      <c r="M15" s="28">
        <v>0.27287129999999998</v>
      </c>
      <c r="N15" s="28">
        <v>0.8771177</v>
      </c>
      <c r="O15" s="30" t="s">
        <v>46</v>
      </c>
    </row>
    <row r="16" spans="2:15" x14ac:dyDescent="0.2">
      <c r="B16" s="29"/>
    </row>
    <row r="17" spans="2:15" x14ac:dyDescent="0.2">
      <c r="B17" s="21" t="s">
        <v>30</v>
      </c>
      <c r="C17" s="22" t="s">
        <v>10</v>
      </c>
      <c r="D17" s="22" t="s">
        <v>11</v>
      </c>
      <c r="E17" s="22" t="s">
        <v>12</v>
      </c>
      <c r="F17" s="22" t="s">
        <v>13</v>
      </c>
      <c r="G17" s="22" t="s">
        <v>14</v>
      </c>
      <c r="H17" s="22" t="s">
        <v>15</v>
      </c>
      <c r="I17" s="22" t="s">
        <v>16</v>
      </c>
      <c r="K17" s="21" t="s">
        <v>6</v>
      </c>
      <c r="L17" s="24" t="s">
        <v>9</v>
      </c>
      <c r="M17" s="24" t="s">
        <v>31</v>
      </c>
      <c r="N17" s="24" t="s">
        <v>47</v>
      </c>
      <c r="O17" s="24" t="s">
        <v>48</v>
      </c>
    </row>
    <row r="18" spans="2:15" x14ac:dyDescent="0.2">
      <c r="B18" s="25" t="s">
        <v>17</v>
      </c>
      <c r="C18" s="26">
        <v>0.23655914</v>
      </c>
      <c r="D18" s="26">
        <v>0.29071490999999999</v>
      </c>
      <c r="E18" s="26">
        <v>0.32162162</v>
      </c>
      <c r="F18" s="26">
        <v>0.32600601000000001</v>
      </c>
      <c r="G18" s="26">
        <v>0.35675676000000001</v>
      </c>
      <c r="H18" s="26">
        <v>0.43243239999999999</v>
      </c>
      <c r="I18" s="25">
        <v>0</v>
      </c>
      <c r="K18" s="27" t="s">
        <v>54</v>
      </c>
      <c r="L18" s="28">
        <v>0.65915310000000005</v>
      </c>
      <c r="M18" s="28">
        <v>0.32600600000000002</v>
      </c>
      <c r="N18" s="28">
        <v>0.85691010000000001</v>
      </c>
      <c r="O18" s="30" t="s">
        <v>34</v>
      </c>
    </row>
    <row r="19" spans="2:15" x14ac:dyDescent="0.2">
      <c r="B19" s="27" t="s">
        <v>18</v>
      </c>
      <c r="C19" s="28">
        <v>0.28494624000000002</v>
      </c>
      <c r="D19" s="28">
        <v>0.32795699</v>
      </c>
      <c r="E19" s="28">
        <v>0.34946237000000002</v>
      </c>
      <c r="F19" s="28">
        <v>0.35369757000000002</v>
      </c>
      <c r="G19" s="28">
        <v>0.37112758000000001</v>
      </c>
      <c r="H19" s="28">
        <v>0.47567569999999998</v>
      </c>
      <c r="I19" s="27">
        <v>0</v>
      </c>
      <c r="K19" s="27" t="s">
        <v>57</v>
      </c>
      <c r="L19" s="28">
        <v>0.65295020000000004</v>
      </c>
      <c r="M19" s="28">
        <v>0.1974436</v>
      </c>
      <c r="N19" s="28">
        <v>0.92518840000000002</v>
      </c>
      <c r="O19" s="30" t="s">
        <v>38</v>
      </c>
    </row>
    <row r="20" spans="2:15" x14ac:dyDescent="0.2">
      <c r="B20" s="27" t="s">
        <v>19</v>
      </c>
      <c r="C20" s="28">
        <v>3.7837839999999998E-2</v>
      </c>
      <c r="D20" s="28">
        <v>8.6137749999999999E-2</v>
      </c>
      <c r="E20" s="28">
        <v>0.10540541</v>
      </c>
      <c r="F20" s="28">
        <v>0.10766831</v>
      </c>
      <c r="G20" s="28">
        <v>0.12903226000000001</v>
      </c>
      <c r="H20" s="28">
        <v>0.1567568</v>
      </c>
      <c r="I20" s="27">
        <v>0</v>
      </c>
      <c r="K20" s="27" t="s">
        <v>53</v>
      </c>
      <c r="L20" s="28">
        <v>0.65275729999999998</v>
      </c>
      <c r="M20" s="28">
        <v>0.28516609999999998</v>
      </c>
      <c r="N20" s="28">
        <v>0.88334429999999997</v>
      </c>
      <c r="O20" s="30" t="s">
        <v>44</v>
      </c>
    </row>
    <row r="21" spans="2:15" x14ac:dyDescent="0.2">
      <c r="B21" s="27" t="s">
        <v>20</v>
      </c>
      <c r="C21" s="28">
        <v>0.15135135</v>
      </c>
      <c r="D21" s="28">
        <v>0.18304271999999999</v>
      </c>
      <c r="E21" s="28">
        <v>0.19946237</v>
      </c>
      <c r="F21" s="28">
        <v>0.19705898999999999</v>
      </c>
      <c r="G21" s="28">
        <v>0.2159256</v>
      </c>
      <c r="H21" s="28">
        <v>0.23655909999999999</v>
      </c>
      <c r="I21" s="27">
        <v>0</v>
      </c>
      <c r="K21" s="27" t="s">
        <v>56</v>
      </c>
      <c r="L21" s="28">
        <v>0.64433339999999995</v>
      </c>
      <c r="M21" s="28">
        <v>0.19705900000000001</v>
      </c>
      <c r="N21" s="28">
        <v>0.92845259999999996</v>
      </c>
      <c r="O21" s="30" t="s">
        <v>37</v>
      </c>
    </row>
    <row r="22" spans="2:15" x14ac:dyDescent="0.2">
      <c r="B22" s="27" t="s">
        <v>21</v>
      </c>
      <c r="C22" s="28">
        <v>0.13440859999999999</v>
      </c>
      <c r="D22" s="28">
        <v>0.17741935</v>
      </c>
      <c r="E22" s="28">
        <v>0.19623656</v>
      </c>
      <c r="F22" s="28">
        <v>0.19744357000000001</v>
      </c>
      <c r="G22" s="28">
        <v>0.20945945999999999</v>
      </c>
      <c r="H22" s="28">
        <v>0.29189189999999998</v>
      </c>
      <c r="I22" s="27">
        <v>0</v>
      </c>
      <c r="K22" s="27" t="s">
        <v>56</v>
      </c>
      <c r="L22" s="28">
        <v>0.64228649999999998</v>
      </c>
      <c r="M22" s="28">
        <v>0.26430199999999998</v>
      </c>
      <c r="N22" s="28">
        <v>0.88813410000000004</v>
      </c>
      <c r="O22" s="30" t="s">
        <v>39</v>
      </c>
    </row>
    <row r="23" spans="2:15" x14ac:dyDescent="0.2">
      <c r="B23" s="27" t="s">
        <v>22</v>
      </c>
      <c r="C23" s="28">
        <v>0.16666666999999999</v>
      </c>
      <c r="D23" s="28">
        <v>0.23783783999999999</v>
      </c>
      <c r="E23" s="28">
        <v>0.26344086</v>
      </c>
      <c r="F23" s="28">
        <v>0.26430204000000002</v>
      </c>
      <c r="G23" s="28">
        <v>0.28610142</v>
      </c>
      <c r="H23" s="28">
        <v>0.38378380000000001</v>
      </c>
      <c r="I23" s="27">
        <v>0</v>
      </c>
      <c r="K23" s="27" t="s">
        <v>55</v>
      </c>
      <c r="L23" s="28">
        <v>0.63930810000000005</v>
      </c>
      <c r="M23" s="28">
        <v>0.24954860000000001</v>
      </c>
      <c r="N23" s="28">
        <v>0.90007789999999999</v>
      </c>
      <c r="O23" s="30" t="s">
        <v>43</v>
      </c>
    </row>
    <row r="24" spans="2:15" x14ac:dyDescent="0.2">
      <c r="B24" s="27" t="s">
        <v>23</v>
      </c>
      <c r="C24" s="28">
        <v>0.26344086</v>
      </c>
      <c r="D24" s="28">
        <v>0.27956988999999999</v>
      </c>
      <c r="E24" s="28">
        <v>0.30270269999999999</v>
      </c>
      <c r="F24" s="28">
        <v>0.30370628999999999</v>
      </c>
      <c r="G24" s="28">
        <v>0.31849026000000003</v>
      </c>
      <c r="H24" s="28">
        <v>0.41621619999999998</v>
      </c>
      <c r="I24" s="27">
        <v>0</v>
      </c>
      <c r="K24" s="27" t="s">
        <v>49</v>
      </c>
      <c r="L24" s="28">
        <v>0.63723730000000001</v>
      </c>
      <c r="M24" s="28">
        <v>0.3536976</v>
      </c>
      <c r="N24" s="28">
        <v>0.8178339</v>
      </c>
      <c r="O24" s="30" t="s">
        <v>35</v>
      </c>
    </row>
    <row r="25" spans="2:15" x14ac:dyDescent="0.2">
      <c r="B25" s="27" t="s">
        <v>24</v>
      </c>
      <c r="C25" s="28">
        <v>3.7837839999999998E-2</v>
      </c>
      <c r="D25" s="28">
        <v>5.5325489999999998E-2</v>
      </c>
      <c r="E25" s="28">
        <v>6.4690499999999998E-2</v>
      </c>
      <c r="F25" s="28">
        <v>6.7590819999999996E-2</v>
      </c>
      <c r="G25" s="28">
        <v>8.0972100000000005E-2</v>
      </c>
      <c r="H25" s="28">
        <v>0.10215050000000001</v>
      </c>
      <c r="I25" s="27">
        <v>0</v>
      </c>
      <c r="K25" s="27" t="s">
        <v>28</v>
      </c>
      <c r="L25" s="28">
        <v>0.6091434</v>
      </c>
      <c r="M25" s="28">
        <v>0.28869220000000001</v>
      </c>
      <c r="N25" s="28">
        <v>0.86416610000000005</v>
      </c>
      <c r="O25" s="30" t="s">
        <v>45</v>
      </c>
    </row>
    <row r="26" spans="2:15" x14ac:dyDescent="0.2">
      <c r="B26" s="27" t="s">
        <v>25</v>
      </c>
      <c r="C26" s="28">
        <v>1.6129029999999999E-2</v>
      </c>
      <c r="D26" s="28">
        <v>5.3836090000000003E-2</v>
      </c>
      <c r="E26" s="28">
        <v>6.1987790000000001E-2</v>
      </c>
      <c r="F26" s="28">
        <v>6.1843460000000003E-2</v>
      </c>
      <c r="G26" s="28">
        <v>6.8918919999999995E-2</v>
      </c>
      <c r="H26" s="28">
        <v>0.10215050000000001</v>
      </c>
      <c r="I26" s="27">
        <v>0</v>
      </c>
      <c r="K26" s="27" t="s">
        <v>51</v>
      </c>
      <c r="L26" s="28">
        <v>0.60153659999999998</v>
      </c>
      <c r="M26" s="28">
        <v>0.30370629999999998</v>
      </c>
      <c r="N26" s="28">
        <v>0.81843270000000001</v>
      </c>
      <c r="O26" s="30" t="s">
        <v>40</v>
      </c>
    </row>
    <row r="27" spans="2:15" x14ac:dyDescent="0.2">
      <c r="B27" s="27" t="s">
        <v>26</v>
      </c>
      <c r="C27" s="28">
        <v>0.18918919000000001</v>
      </c>
      <c r="D27" s="28">
        <v>0.22432431999999999</v>
      </c>
      <c r="E27" s="28">
        <v>0.25268816999999999</v>
      </c>
      <c r="F27" s="28">
        <v>0.24954857999999999</v>
      </c>
      <c r="G27" s="28">
        <v>0.27567567999999998</v>
      </c>
      <c r="H27" s="28">
        <v>0.3081081</v>
      </c>
      <c r="I27" s="27">
        <v>0</v>
      </c>
      <c r="K27" s="27" t="s">
        <v>50</v>
      </c>
      <c r="L27" s="28">
        <v>0.59499340000000001</v>
      </c>
      <c r="M27" s="28">
        <v>0.27287129999999998</v>
      </c>
      <c r="N27" s="28">
        <v>0.8771177</v>
      </c>
      <c r="O27" s="30" t="s">
        <v>46</v>
      </c>
    </row>
    <row r="28" spans="2:15" x14ac:dyDescent="0.2">
      <c r="B28" s="27" t="s">
        <v>27</v>
      </c>
      <c r="C28" s="28">
        <v>0.23243243</v>
      </c>
      <c r="D28" s="28">
        <v>0.26045480999999998</v>
      </c>
      <c r="E28" s="28">
        <v>0.28032549000000001</v>
      </c>
      <c r="F28" s="28">
        <v>0.28516613000000002</v>
      </c>
      <c r="G28" s="28">
        <v>0.30270269999999999</v>
      </c>
      <c r="H28" s="28">
        <v>0.35675679999999999</v>
      </c>
      <c r="I28" s="27">
        <v>0</v>
      </c>
      <c r="K28" s="27" t="s">
        <v>52</v>
      </c>
      <c r="L28" s="28">
        <v>0.58850970000000002</v>
      </c>
      <c r="M28" s="28">
        <v>0.10766829999999999</v>
      </c>
      <c r="N28" s="28">
        <v>0.93712589999999996</v>
      </c>
      <c r="O28" s="30" t="s">
        <v>36</v>
      </c>
    </row>
    <row r="29" spans="2:15" x14ac:dyDescent="0.2">
      <c r="B29" s="27" t="s">
        <v>28</v>
      </c>
      <c r="C29" s="28">
        <v>0.14054053999999999</v>
      </c>
      <c r="D29" s="28">
        <v>0.24426038999999999</v>
      </c>
      <c r="E29" s="28">
        <v>0.30107527000000001</v>
      </c>
      <c r="F29" s="28">
        <v>0.28869223999999999</v>
      </c>
      <c r="G29" s="28">
        <v>0.34184829999999999</v>
      </c>
      <c r="H29" s="28">
        <v>0.39459460000000002</v>
      </c>
      <c r="I29" s="27">
        <v>0</v>
      </c>
      <c r="K29" s="27" t="s">
        <v>58</v>
      </c>
      <c r="L29" s="28">
        <v>0.58604820000000002</v>
      </c>
      <c r="M29" s="28">
        <v>6.1843460000000003E-2</v>
      </c>
      <c r="N29" s="28">
        <v>0.96233999999999997</v>
      </c>
      <c r="O29" s="30" t="s">
        <v>42</v>
      </c>
    </row>
    <row r="30" spans="2:15" x14ac:dyDescent="0.2">
      <c r="B30" s="27" t="s">
        <v>29</v>
      </c>
      <c r="C30" s="28">
        <v>0.14516129</v>
      </c>
      <c r="D30" s="28">
        <v>0.24226242000000001</v>
      </c>
      <c r="E30" s="28">
        <v>0.27567567999999998</v>
      </c>
      <c r="F30" s="28">
        <v>0.27287126</v>
      </c>
      <c r="G30" s="28">
        <v>0.30229583999999998</v>
      </c>
      <c r="H30" s="28">
        <v>0.4</v>
      </c>
      <c r="I30" s="27">
        <v>0</v>
      </c>
      <c r="K30" s="27" t="s">
        <v>58</v>
      </c>
      <c r="L30" s="28">
        <v>0.58262460000000005</v>
      </c>
      <c r="M30" s="28">
        <v>6.7590819999999996E-2</v>
      </c>
      <c r="N30" s="28">
        <v>0.96111460000000004</v>
      </c>
      <c r="O30" s="30" t="s">
        <v>41</v>
      </c>
    </row>
    <row r="32" spans="2:15" x14ac:dyDescent="0.2">
      <c r="B32" s="21" t="s">
        <v>32</v>
      </c>
      <c r="C32" s="22" t="s">
        <v>10</v>
      </c>
      <c r="D32" s="22" t="s">
        <v>11</v>
      </c>
      <c r="E32" s="22" t="s">
        <v>12</v>
      </c>
      <c r="F32" s="22" t="s">
        <v>13</v>
      </c>
      <c r="G32" s="22" t="s">
        <v>14</v>
      </c>
      <c r="H32" s="22" t="s">
        <v>15</v>
      </c>
      <c r="I32" s="22" t="s">
        <v>16</v>
      </c>
    </row>
    <row r="33" spans="2:9" x14ac:dyDescent="0.2">
      <c r="B33" s="25" t="s">
        <v>17</v>
      </c>
      <c r="C33" s="26">
        <v>0.82568810000000004</v>
      </c>
      <c r="D33" s="26">
        <v>0.83792049999999996</v>
      </c>
      <c r="E33" s="26">
        <v>0.85626910000000001</v>
      </c>
      <c r="F33" s="26">
        <v>0.85691010000000001</v>
      </c>
      <c r="G33" s="26">
        <v>0.87039880000000003</v>
      </c>
      <c r="H33" s="26">
        <v>0.89877300000000004</v>
      </c>
      <c r="I33" s="25">
        <v>0</v>
      </c>
    </row>
    <row r="34" spans="2:9" x14ac:dyDescent="0.2">
      <c r="B34" s="27" t="s">
        <v>18</v>
      </c>
      <c r="C34" s="28">
        <v>0.77675839999999996</v>
      </c>
      <c r="D34" s="28">
        <v>0.80076590000000003</v>
      </c>
      <c r="E34" s="28">
        <v>0.81470330000000002</v>
      </c>
      <c r="F34" s="28">
        <v>0.8178339</v>
      </c>
      <c r="G34" s="28">
        <v>0.83167530000000001</v>
      </c>
      <c r="H34" s="28">
        <v>0.86196320000000004</v>
      </c>
      <c r="I34" s="27">
        <v>0</v>
      </c>
    </row>
    <row r="35" spans="2:9" x14ac:dyDescent="0.2">
      <c r="B35" s="27" t="s">
        <v>19</v>
      </c>
      <c r="C35" s="28">
        <v>0.90184050000000004</v>
      </c>
      <c r="D35" s="28">
        <v>0.92578939999999998</v>
      </c>
      <c r="E35" s="28">
        <v>0.9388379</v>
      </c>
      <c r="F35" s="28">
        <v>0.93712589999999996</v>
      </c>
      <c r="G35" s="28">
        <v>0.95030579999999998</v>
      </c>
      <c r="H35" s="28">
        <v>0.96636089999999997</v>
      </c>
      <c r="I35" s="27">
        <v>0</v>
      </c>
    </row>
    <row r="36" spans="2:9" x14ac:dyDescent="0.2">
      <c r="B36" s="27" t="s">
        <v>20</v>
      </c>
      <c r="C36" s="28">
        <v>0.88957059999999999</v>
      </c>
      <c r="D36" s="28">
        <v>0.92337150000000001</v>
      </c>
      <c r="E36" s="28">
        <v>0.93119269999999998</v>
      </c>
      <c r="F36" s="28">
        <v>0.92845259999999996</v>
      </c>
      <c r="G36" s="28">
        <v>0.93793269999999995</v>
      </c>
      <c r="H36" s="28">
        <v>0.95718650000000005</v>
      </c>
      <c r="I36" s="27">
        <v>0</v>
      </c>
    </row>
    <row r="37" spans="2:9" x14ac:dyDescent="0.2">
      <c r="B37" s="27" t="s">
        <v>21</v>
      </c>
      <c r="C37" s="28">
        <v>0.89908259999999995</v>
      </c>
      <c r="D37" s="28">
        <v>0.91437310000000005</v>
      </c>
      <c r="E37" s="28">
        <v>0.92354740000000002</v>
      </c>
      <c r="F37" s="28">
        <v>0.92518840000000002</v>
      </c>
      <c r="G37" s="28">
        <v>0.93577980000000005</v>
      </c>
      <c r="H37" s="28">
        <v>0.97247709999999998</v>
      </c>
      <c r="I37" s="27">
        <v>0</v>
      </c>
    </row>
    <row r="38" spans="2:9" x14ac:dyDescent="0.2">
      <c r="B38" s="27" t="s">
        <v>22</v>
      </c>
      <c r="C38" s="28">
        <v>0.84097860000000002</v>
      </c>
      <c r="D38" s="28">
        <v>0.87432929999999998</v>
      </c>
      <c r="E38" s="28">
        <v>0.89126850000000002</v>
      </c>
      <c r="F38" s="28">
        <v>0.88813410000000004</v>
      </c>
      <c r="G38" s="28">
        <v>0.90421609999999997</v>
      </c>
      <c r="H38" s="28">
        <v>0.9388379</v>
      </c>
      <c r="I38" s="27">
        <v>0</v>
      </c>
    </row>
    <row r="39" spans="2:9" x14ac:dyDescent="0.2">
      <c r="B39" s="27" t="s">
        <v>23</v>
      </c>
      <c r="C39" s="28">
        <v>0.78287459999999998</v>
      </c>
      <c r="D39" s="28">
        <v>0.80198780000000003</v>
      </c>
      <c r="E39" s="28">
        <v>0.81595090000000003</v>
      </c>
      <c r="F39" s="28">
        <v>0.81843270000000001</v>
      </c>
      <c r="G39" s="28">
        <v>0.83525400000000005</v>
      </c>
      <c r="H39" s="28">
        <v>0.85626910000000001</v>
      </c>
      <c r="I39" s="27">
        <v>0</v>
      </c>
    </row>
    <row r="40" spans="2:9" x14ac:dyDescent="0.2">
      <c r="B40" s="27" t="s">
        <v>24</v>
      </c>
      <c r="C40" s="28">
        <v>0.93272169999999999</v>
      </c>
      <c r="D40" s="28">
        <v>0.95486009999999999</v>
      </c>
      <c r="E40" s="28">
        <v>0.9662577</v>
      </c>
      <c r="F40" s="28">
        <v>0.96111460000000004</v>
      </c>
      <c r="G40" s="28">
        <v>0.9693252</v>
      </c>
      <c r="H40" s="28">
        <v>0.98165139999999995</v>
      </c>
      <c r="I40" s="27">
        <v>0</v>
      </c>
    </row>
    <row r="41" spans="2:9" x14ac:dyDescent="0.2">
      <c r="B41" s="27" t="s">
        <v>25</v>
      </c>
      <c r="C41" s="28">
        <v>0.93272169999999999</v>
      </c>
      <c r="D41" s="28">
        <v>0.95489299999999999</v>
      </c>
      <c r="E41" s="28">
        <v>0.9662577</v>
      </c>
      <c r="F41" s="28">
        <v>0.96233999999999997</v>
      </c>
      <c r="G41" s="28">
        <v>0.96941900000000003</v>
      </c>
      <c r="H41" s="28">
        <v>0.9785933</v>
      </c>
      <c r="I41" s="27">
        <v>0</v>
      </c>
    </row>
    <row r="42" spans="2:9" x14ac:dyDescent="0.2">
      <c r="B42" s="27" t="s">
        <v>26</v>
      </c>
      <c r="C42" s="28">
        <v>0.87116559999999998</v>
      </c>
      <c r="D42" s="28">
        <v>0.88658979999999998</v>
      </c>
      <c r="E42" s="28">
        <v>0.90214070000000002</v>
      </c>
      <c r="F42" s="28">
        <v>0.90007789999999999</v>
      </c>
      <c r="G42" s="28">
        <v>0.91411039999999999</v>
      </c>
      <c r="H42" s="28">
        <v>0.94495410000000002</v>
      </c>
      <c r="I42" s="27">
        <v>0</v>
      </c>
    </row>
    <row r="43" spans="2:9" x14ac:dyDescent="0.2">
      <c r="B43" s="27" t="s">
        <v>27</v>
      </c>
      <c r="C43" s="28">
        <v>0.8348624</v>
      </c>
      <c r="D43" s="28">
        <v>0.86819900000000005</v>
      </c>
      <c r="E43" s="28">
        <v>0.88055570000000005</v>
      </c>
      <c r="F43" s="28">
        <v>0.88334429999999997</v>
      </c>
      <c r="G43" s="28">
        <v>0.90137610000000001</v>
      </c>
      <c r="H43" s="28">
        <v>0.92048929999999995</v>
      </c>
      <c r="I43" s="27">
        <v>0</v>
      </c>
    </row>
    <row r="44" spans="2:9" x14ac:dyDescent="0.2">
      <c r="B44" s="27" t="s">
        <v>28</v>
      </c>
      <c r="C44" s="28">
        <v>0.79754599999999998</v>
      </c>
      <c r="D44" s="28">
        <v>0.82798170000000004</v>
      </c>
      <c r="E44" s="28">
        <v>0.8606452</v>
      </c>
      <c r="F44" s="28">
        <v>0.86416610000000005</v>
      </c>
      <c r="G44" s="28">
        <v>0.89364410000000005</v>
      </c>
      <c r="H44" s="28">
        <v>0.94171780000000005</v>
      </c>
      <c r="I44" s="27">
        <v>0</v>
      </c>
    </row>
    <row r="45" spans="2:9" x14ac:dyDescent="0.2">
      <c r="B45" s="27" t="s">
        <v>29</v>
      </c>
      <c r="C45" s="28">
        <v>0.81957190000000002</v>
      </c>
      <c r="D45" s="28">
        <v>0.8547401</v>
      </c>
      <c r="E45" s="28">
        <v>0.87767580000000001</v>
      </c>
      <c r="F45" s="28">
        <v>0.8771177</v>
      </c>
      <c r="G45" s="28">
        <v>0.89220180000000004</v>
      </c>
      <c r="H45" s="28">
        <v>0.93272169999999999</v>
      </c>
      <c r="I45" s="27">
        <v>0</v>
      </c>
    </row>
  </sheetData>
  <sortState xmlns:xlrd2="http://schemas.microsoft.com/office/spreadsheetml/2017/richdata2" ref="K18:O30">
    <sortCondition descending="1" ref="L18:L3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9FAD-4AA0-FA40-9204-FCF97E709EF2}">
  <dimension ref="B1:Q41"/>
  <sheetViews>
    <sheetView showGridLines="0" workbookViewId="0"/>
  </sheetViews>
  <sheetFormatPr baseColWidth="10" defaultRowHeight="16" x14ac:dyDescent="0.2"/>
  <cols>
    <col min="1" max="1" width="2.83203125" customWidth="1"/>
    <col min="2" max="2" width="14.33203125" customWidth="1"/>
    <col min="3" max="4" width="8.1640625" customWidth="1"/>
    <col min="5" max="5" width="14.33203125" customWidth="1"/>
    <col min="6" max="7" width="8.1640625" customWidth="1"/>
    <col min="8" max="8" width="14.33203125" customWidth="1"/>
    <col min="9" max="10" width="8.1640625" customWidth="1"/>
    <col min="11" max="11" width="2.6640625" customWidth="1"/>
    <col min="12" max="12" width="11.6640625" bestFit="1" customWidth="1"/>
    <col min="13" max="13" width="9" bestFit="1" customWidth="1"/>
    <col min="14" max="14" width="7" bestFit="1" customWidth="1"/>
    <col min="15" max="15" width="6.1640625" bestFit="1" customWidth="1"/>
    <col min="16" max="16" width="8" bestFit="1" customWidth="1"/>
    <col min="17" max="17" width="6.1640625" bestFit="1" customWidth="1"/>
  </cols>
  <sheetData>
    <row r="1" spans="2:17" ht="17" thickBot="1" x14ac:dyDescent="0.25"/>
    <row r="2" spans="2:17" ht="17" thickBot="1" x14ac:dyDescent="0.25">
      <c r="B2" s="37" t="s">
        <v>17</v>
      </c>
      <c r="C2" s="31"/>
      <c r="D2" s="32"/>
      <c r="E2" s="37" t="s">
        <v>21</v>
      </c>
      <c r="F2" s="31"/>
      <c r="G2" s="32"/>
      <c r="H2" s="37" t="s">
        <v>27</v>
      </c>
      <c r="I2" s="31"/>
      <c r="J2" s="32"/>
      <c r="M2" s="2"/>
      <c r="N2" s="3" t="s">
        <v>1</v>
      </c>
      <c r="O2" s="3"/>
      <c r="P2" s="3" t="s">
        <v>2</v>
      </c>
      <c r="Q2" s="3"/>
    </row>
    <row r="3" spans="2:17" x14ac:dyDescent="0.2">
      <c r="B3" s="33" t="s">
        <v>71</v>
      </c>
      <c r="C3" s="38" t="s">
        <v>1</v>
      </c>
      <c r="D3" s="39" t="s">
        <v>2</v>
      </c>
      <c r="E3" s="33" t="s">
        <v>71</v>
      </c>
      <c r="F3" s="38" t="s">
        <v>1</v>
      </c>
      <c r="G3" s="39" t="s">
        <v>2</v>
      </c>
      <c r="H3" s="33" t="s">
        <v>71</v>
      </c>
      <c r="I3" s="38" t="s">
        <v>1</v>
      </c>
      <c r="J3" s="39" t="s">
        <v>2</v>
      </c>
      <c r="L3" s="5"/>
      <c r="M3" s="17" t="s">
        <v>0</v>
      </c>
      <c r="N3" s="6">
        <v>5921</v>
      </c>
      <c r="O3" s="7">
        <f>N3/(N3+P3)</f>
        <v>0.34833509824685255</v>
      </c>
      <c r="P3" s="6">
        <v>11077</v>
      </c>
      <c r="Q3" s="8">
        <f>P3/(N3+P3)</f>
        <v>0.6516649017531474</v>
      </c>
    </row>
    <row r="4" spans="2:17" x14ac:dyDescent="0.2">
      <c r="B4" s="34" t="s">
        <v>122</v>
      </c>
      <c r="C4" s="40">
        <v>40.9</v>
      </c>
      <c r="D4" s="41">
        <v>59.1</v>
      </c>
      <c r="E4" s="34" t="s">
        <v>132</v>
      </c>
      <c r="F4" s="40">
        <v>42.7</v>
      </c>
      <c r="G4" s="41">
        <v>57.3</v>
      </c>
      <c r="H4" s="34" t="s">
        <v>142</v>
      </c>
      <c r="I4" s="40">
        <v>40.4</v>
      </c>
      <c r="J4" s="41">
        <v>59.6</v>
      </c>
      <c r="L4" s="9" t="s">
        <v>6</v>
      </c>
      <c r="M4" s="18" t="s">
        <v>3</v>
      </c>
      <c r="N4" s="10">
        <v>1854</v>
      </c>
      <c r="O4" s="11">
        <f>N4/(N4+P4)</f>
        <v>0.36210937500000001</v>
      </c>
      <c r="P4" s="10">
        <v>3266</v>
      </c>
      <c r="Q4" s="12">
        <f>P4/(N4+P4)</f>
        <v>0.63789062500000004</v>
      </c>
    </row>
    <row r="5" spans="2:17" ht="17" thickBot="1" x14ac:dyDescent="0.25">
      <c r="B5" s="35" t="s">
        <v>123</v>
      </c>
      <c r="C5" s="42">
        <v>40.9</v>
      </c>
      <c r="D5" s="43">
        <v>59.1</v>
      </c>
      <c r="E5" s="35" t="s">
        <v>133</v>
      </c>
      <c r="F5" s="42">
        <v>40.200000000000003</v>
      </c>
      <c r="G5" s="43">
        <v>59.8</v>
      </c>
      <c r="H5" s="35" t="s">
        <v>143</v>
      </c>
      <c r="I5" s="42">
        <v>38.5</v>
      </c>
      <c r="J5" s="43">
        <v>61.5</v>
      </c>
      <c r="L5" s="13"/>
      <c r="M5" s="19" t="s">
        <v>4</v>
      </c>
      <c r="N5" s="14">
        <v>4067</v>
      </c>
      <c r="O5" s="52">
        <f>N5/(N5+P5)</f>
        <v>0.34239771005219732</v>
      </c>
      <c r="P5" s="14">
        <v>7811</v>
      </c>
      <c r="Q5" s="53">
        <f>P5/(N5+P5)</f>
        <v>0.65760228994780268</v>
      </c>
    </row>
    <row r="6" spans="2:17" x14ac:dyDescent="0.2">
      <c r="B6" s="34" t="s">
        <v>124</v>
      </c>
      <c r="C6" s="40">
        <v>34.700000000000003</v>
      </c>
      <c r="D6" s="41">
        <v>65.3</v>
      </c>
      <c r="E6" s="34" t="s">
        <v>134</v>
      </c>
      <c r="F6" s="40">
        <v>35.700000000000003</v>
      </c>
      <c r="G6" s="41">
        <v>64.3</v>
      </c>
      <c r="H6" s="34" t="s">
        <v>144</v>
      </c>
      <c r="I6" s="40">
        <v>37.700000000000003</v>
      </c>
      <c r="J6" s="41">
        <v>62.3</v>
      </c>
    </row>
    <row r="7" spans="2:17" x14ac:dyDescent="0.2">
      <c r="B7" s="35" t="s">
        <v>125</v>
      </c>
      <c r="C7" s="42">
        <v>35.700000000000003</v>
      </c>
      <c r="D7" s="43">
        <v>64.3</v>
      </c>
      <c r="E7" s="35" t="s">
        <v>135</v>
      </c>
      <c r="F7" s="42">
        <v>33.799999999999997</v>
      </c>
      <c r="G7" s="43">
        <v>66.2</v>
      </c>
      <c r="H7" s="35" t="s">
        <v>145</v>
      </c>
      <c r="I7" s="42">
        <v>35</v>
      </c>
      <c r="J7" s="43">
        <v>65</v>
      </c>
    </row>
    <row r="8" spans="2:17" x14ac:dyDescent="0.2">
      <c r="B8" s="34" t="s">
        <v>126</v>
      </c>
      <c r="C8" s="40">
        <v>36</v>
      </c>
      <c r="D8" s="41">
        <v>64</v>
      </c>
      <c r="E8" s="34" t="s">
        <v>136</v>
      </c>
      <c r="F8" s="40">
        <v>32.200000000000003</v>
      </c>
      <c r="G8" s="41">
        <v>67.8</v>
      </c>
      <c r="H8" s="34" t="s">
        <v>146</v>
      </c>
      <c r="I8" s="40">
        <v>34.4</v>
      </c>
      <c r="J8" s="41">
        <v>65.599999999999994</v>
      </c>
    </row>
    <row r="9" spans="2:17" x14ac:dyDescent="0.2">
      <c r="B9" s="35" t="s">
        <v>127</v>
      </c>
      <c r="C9" s="42">
        <v>34.4</v>
      </c>
      <c r="D9" s="43">
        <v>65.599999999999994</v>
      </c>
      <c r="E9" s="35" t="s">
        <v>137</v>
      </c>
      <c r="F9" s="42">
        <v>31.4</v>
      </c>
      <c r="G9" s="43">
        <v>68.599999999999994</v>
      </c>
      <c r="H9" s="35" t="s">
        <v>147</v>
      </c>
      <c r="I9" s="42">
        <v>33.4</v>
      </c>
      <c r="J9" s="43">
        <v>66.599999999999994</v>
      </c>
    </row>
    <row r="10" spans="2:17" x14ac:dyDescent="0.2">
      <c r="B10" s="34" t="s">
        <v>128</v>
      </c>
      <c r="C10" s="40">
        <v>30.1</v>
      </c>
      <c r="D10" s="41">
        <v>69.900000000000006</v>
      </c>
      <c r="E10" s="34" t="s">
        <v>138</v>
      </c>
      <c r="F10" s="40">
        <v>30.9</v>
      </c>
      <c r="G10" s="41">
        <v>69.099999999999994</v>
      </c>
      <c r="H10" s="34" t="s">
        <v>148</v>
      </c>
      <c r="I10" s="40">
        <v>30.2</v>
      </c>
      <c r="J10" s="41">
        <v>69.8</v>
      </c>
      <c r="M10" s="20"/>
      <c r="N10" s="20" t="s">
        <v>59</v>
      </c>
      <c r="O10" s="20"/>
    </row>
    <row r="11" spans="2:17" x14ac:dyDescent="0.2">
      <c r="B11" s="35" t="s">
        <v>129</v>
      </c>
      <c r="C11" s="42">
        <v>32.299999999999997</v>
      </c>
      <c r="D11" s="43">
        <v>67.7</v>
      </c>
      <c r="E11" s="35" t="s">
        <v>139</v>
      </c>
      <c r="F11" s="42">
        <v>30.6</v>
      </c>
      <c r="G11" s="43">
        <v>69.400000000000006</v>
      </c>
      <c r="H11" s="35" t="s">
        <v>149</v>
      </c>
      <c r="I11" s="42">
        <v>33.299999999999997</v>
      </c>
      <c r="J11" s="43">
        <v>66.7</v>
      </c>
      <c r="M11" s="20"/>
      <c r="N11" s="20" t="s">
        <v>59</v>
      </c>
      <c r="O11" s="20"/>
    </row>
    <row r="12" spans="2:17" x14ac:dyDescent="0.2">
      <c r="B12" s="34" t="s">
        <v>130</v>
      </c>
      <c r="C12" s="40">
        <v>30.8</v>
      </c>
      <c r="D12" s="41">
        <v>69.2</v>
      </c>
      <c r="E12" s="34" t="s">
        <v>140</v>
      </c>
      <c r="F12" s="40">
        <v>31.1</v>
      </c>
      <c r="G12" s="41">
        <v>68.900000000000006</v>
      </c>
      <c r="H12" s="34" t="s">
        <v>150</v>
      </c>
      <c r="I12" s="40">
        <v>30</v>
      </c>
      <c r="J12" s="41">
        <v>70</v>
      </c>
      <c r="M12" s="20"/>
      <c r="N12" s="20" t="s">
        <v>59</v>
      </c>
      <c r="O12" s="20"/>
    </row>
    <row r="13" spans="2:17" x14ac:dyDescent="0.2">
      <c r="B13" s="35" t="s">
        <v>131</v>
      </c>
      <c r="C13" s="42">
        <v>26.9</v>
      </c>
      <c r="D13" s="43">
        <v>73.099999999999994</v>
      </c>
      <c r="E13" s="35" t="s">
        <v>141</v>
      </c>
      <c r="F13" s="42">
        <v>33.799999999999997</v>
      </c>
      <c r="G13" s="43">
        <v>66.2</v>
      </c>
      <c r="H13" s="35" t="s">
        <v>151</v>
      </c>
      <c r="I13" s="42">
        <v>29.5</v>
      </c>
      <c r="J13" s="43">
        <v>70.5</v>
      </c>
      <c r="M13" s="20"/>
      <c r="N13" s="20" t="s">
        <v>59</v>
      </c>
      <c r="O13" s="20"/>
    </row>
    <row r="14" spans="2:17" ht="17" thickBot="1" x14ac:dyDescent="0.25">
      <c r="B14" s="36" t="s">
        <v>300</v>
      </c>
      <c r="C14" s="44">
        <v>4067</v>
      </c>
      <c r="D14" s="45">
        <v>7811</v>
      </c>
      <c r="E14" s="36"/>
      <c r="F14" s="44">
        <v>4067</v>
      </c>
      <c r="G14" s="45">
        <v>7811</v>
      </c>
      <c r="H14" s="36"/>
      <c r="I14" s="44">
        <v>4067</v>
      </c>
      <c r="J14" s="45">
        <v>7811</v>
      </c>
      <c r="N14" s="20" t="s">
        <v>59</v>
      </c>
    </row>
    <row r="15" spans="2:17" ht="17" thickBot="1" x14ac:dyDescent="0.25"/>
    <row r="16" spans="2:17" ht="17" thickBot="1" x14ac:dyDescent="0.25">
      <c r="B16" s="37" t="s">
        <v>20</v>
      </c>
      <c r="C16" s="31"/>
      <c r="D16" s="32"/>
      <c r="E16" s="37" t="s">
        <v>22</v>
      </c>
      <c r="F16" s="31"/>
      <c r="G16" s="32"/>
      <c r="H16" s="37" t="s">
        <v>26</v>
      </c>
      <c r="I16" s="31"/>
      <c r="J16" s="32"/>
    </row>
    <row r="17" spans="2:14" x14ac:dyDescent="0.2">
      <c r="B17" s="33" t="s">
        <v>71</v>
      </c>
      <c r="C17" s="38" t="s">
        <v>1</v>
      </c>
      <c r="D17" s="39" t="s">
        <v>2</v>
      </c>
      <c r="E17" s="33" t="s">
        <v>71</v>
      </c>
      <c r="F17" s="38" t="s">
        <v>1</v>
      </c>
      <c r="G17" s="39" t="s">
        <v>2</v>
      </c>
      <c r="H17" s="33" t="s">
        <v>71</v>
      </c>
      <c r="I17" s="38" t="s">
        <v>1</v>
      </c>
      <c r="J17" s="39" t="s">
        <v>2</v>
      </c>
    </row>
    <row r="18" spans="2:14" x14ac:dyDescent="0.2">
      <c r="B18" s="34" t="s">
        <v>152</v>
      </c>
      <c r="C18" s="40">
        <v>40.299999999999997</v>
      </c>
      <c r="D18" s="41">
        <v>59.7</v>
      </c>
      <c r="E18" s="34" t="s">
        <v>162</v>
      </c>
      <c r="F18" s="40">
        <v>42.6</v>
      </c>
      <c r="G18" s="41">
        <v>57.4</v>
      </c>
      <c r="H18" s="34" t="s">
        <v>181</v>
      </c>
      <c r="I18" s="40">
        <v>43.4</v>
      </c>
      <c r="J18" s="41">
        <v>56.6</v>
      </c>
      <c r="N18" s="20"/>
    </row>
    <row r="19" spans="2:14" x14ac:dyDescent="0.2">
      <c r="B19" s="35" t="s">
        <v>153</v>
      </c>
      <c r="C19" s="42">
        <v>38.1</v>
      </c>
      <c r="D19" s="43">
        <v>61.9</v>
      </c>
      <c r="E19" s="35" t="s">
        <v>163</v>
      </c>
      <c r="F19" s="42">
        <v>39.299999999999997</v>
      </c>
      <c r="G19" s="43">
        <v>60.7</v>
      </c>
      <c r="H19" s="35" t="s">
        <v>172</v>
      </c>
      <c r="I19" s="42">
        <v>38.5</v>
      </c>
      <c r="J19" s="43">
        <v>61.5</v>
      </c>
      <c r="N19" s="20"/>
    </row>
    <row r="20" spans="2:14" x14ac:dyDescent="0.2">
      <c r="B20" s="34" t="s">
        <v>154</v>
      </c>
      <c r="C20" s="40">
        <v>38</v>
      </c>
      <c r="D20" s="41">
        <v>62</v>
      </c>
      <c r="E20" s="34" t="s">
        <v>164</v>
      </c>
      <c r="F20" s="40">
        <v>38.5</v>
      </c>
      <c r="G20" s="41">
        <v>61.5</v>
      </c>
      <c r="H20" s="34" t="s">
        <v>173</v>
      </c>
      <c r="I20" s="40">
        <v>38.1</v>
      </c>
      <c r="J20" s="41">
        <v>61.9</v>
      </c>
      <c r="N20" s="20"/>
    </row>
    <row r="21" spans="2:14" x14ac:dyDescent="0.2">
      <c r="B21" s="35" t="s">
        <v>155</v>
      </c>
      <c r="C21" s="42">
        <v>36.6</v>
      </c>
      <c r="D21" s="43">
        <v>63.4</v>
      </c>
      <c r="E21" s="35" t="s">
        <v>165</v>
      </c>
      <c r="F21" s="42">
        <v>37.9</v>
      </c>
      <c r="G21" s="43">
        <v>62.1</v>
      </c>
      <c r="H21" s="35" t="s">
        <v>174</v>
      </c>
      <c r="I21" s="42">
        <v>38.200000000000003</v>
      </c>
      <c r="J21" s="43">
        <v>61.8</v>
      </c>
      <c r="N21" s="20"/>
    </row>
    <row r="22" spans="2:14" x14ac:dyDescent="0.2">
      <c r="B22" s="34" t="s">
        <v>156</v>
      </c>
      <c r="C22" s="40">
        <v>35.299999999999997</v>
      </c>
      <c r="D22" s="41">
        <v>64.7</v>
      </c>
      <c r="E22" s="34" t="s">
        <v>166</v>
      </c>
      <c r="F22" s="40">
        <v>33.700000000000003</v>
      </c>
      <c r="G22" s="41">
        <v>66.3</v>
      </c>
      <c r="H22" s="34" t="s">
        <v>175</v>
      </c>
      <c r="I22" s="40">
        <v>34.799999999999997</v>
      </c>
      <c r="J22" s="41">
        <v>65.2</v>
      </c>
      <c r="N22" s="20"/>
    </row>
    <row r="23" spans="2:14" x14ac:dyDescent="0.2">
      <c r="B23" s="35" t="s">
        <v>157</v>
      </c>
      <c r="C23" s="42">
        <v>34.700000000000003</v>
      </c>
      <c r="D23" s="43">
        <v>65.3</v>
      </c>
      <c r="E23" s="35" t="s">
        <v>167</v>
      </c>
      <c r="F23" s="42">
        <v>30.8</v>
      </c>
      <c r="G23" s="43">
        <v>69.2</v>
      </c>
      <c r="H23" s="35" t="s">
        <v>176</v>
      </c>
      <c r="I23" s="42">
        <v>34.1</v>
      </c>
      <c r="J23" s="43">
        <v>65.900000000000006</v>
      </c>
      <c r="N23" s="20"/>
    </row>
    <row r="24" spans="2:14" x14ac:dyDescent="0.2">
      <c r="B24" s="34" t="s">
        <v>158</v>
      </c>
      <c r="C24" s="40">
        <v>33.1</v>
      </c>
      <c r="D24" s="41">
        <v>66.900000000000006</v>
      </c>
      <c r="E24" s="34" t="s">
        <v>168</v>
      </c>
      <c r="F24" s="40">
        <v>31.5</v>
      </c>
      <c r="G24" s="41">
        <v>68.5</v>
      </c>
      <c r="H24" s="34" t="s">
        <v>177</v>
      </c>
      <c r="I24" s="40">
        <v>31.8</v>
      </c>
      <c r="J24" s="41">
        <v>68.2</v>
      </c>
      <c r="N24" s="20"/>
    </row>
    <row r="25" spans="2:14" x14ac:dyDescent="0.2">
      <c r="B25" s="35" t="s">
        <v>159</v>
      </c>
      <c r="C25" s="42">
        <v>29.5</v>
      </c>
      <c r="D25" s="43">
        <v>70.5</v>
      </c>
      <c r="E25" s="35" t="s">
        <v>169</v>
      </c>
      <c r="F25" s="42">
        <v>30.6</v>
      </c>
      <c r="G25" s="43">
        <v>69.400000000000006</v>
      </c>
      <c r="H25" s="35" t="s">
        <v>178</v>
      </c>
      <c r="I25" s="42">
        <v>29</v>
      </c>
      <c r="J25" s="43">
        <v>71</v>
      </c>
      <c r="N25" s="20"/>
    </row>
    <row r="26" spans="2:14" x14ac:dyDescent="0.2">
      <c r="B26" s="34" t="s">
        <v>160</v>
      </c>
      <c r="C26" s="40">
        <v>29</v>
      </c>
      <c r="D26" s="41">
        <v>71</v>
      </c>
      <c r="E26" s="34" t="s">
        <v>170</v>
      </c>
      <c r="F26" s="40">
        <v>29.4</v>
      </c>
      <c r="G26" s="41">
        <v>70.599999999999994</v>
      </c>
      <c r="H26" s="34" t="s">
        <v>179</v>
      </c>
      <c r="I26" s="40">
        <v>28</v>
      </c>
      <c r="J26" s="41">
        <v>72</v>
      </c>
      <c r="N26" s="20"/>
    </row>
    <row r="27" spans="2:14" x14ac:dyDescent="0.2">
      <c r="B27" s="35" t="s">
        <v>161</v>
      </c>
      <c r="C27" s="42">
        <v>27.8</v>
      </c>
      <c r="D27" s="43">
        <v>72.2</v>
      </c>
      <c r="E27" s="35" t="s">
        <v>171</v>
      </c>
      <c r="F27" s="42">
        <v>28.1</v>
      </c>
      <c r="G27" s="43">
        <v>71.900000000000006</v>
      </c>
      <c r="H27" s="46" t="s">
        <v>180</v>
      </c>
      <c r="I27" s="47">
        <v>26.4</v>
      </c>
      <c r="J27" s="48">
        <v>73.599999999999994</v>
      </c>
      <c r="N27" s="20"/>
    </row>
    <row r="28" spans="2:14" ht="17" thickBot="1" x14ac:dyDescent="0.25">
      <c r="B28" s="36" t="s">
        <v>300</v>
      </c>
      <c r="C28" s="44">
        <v>4067</v>
      </c>
      <c r="D28" s="45">
        <v>7811</v>
      </c>
      <c r="E28" s="36"/>
      <c r="F28" s="44">
        <v>4067</v>
      </c>
      <c r="G28" s="45">
        <v>7811</v>
      </c>
      <c r="H28" s="36"/>
      <c r="I28" s="44">
        <v>4067</v>
      </c>
      <c r="J28" s="45">
        <v>7811</v>
      </c>
      <c r="N28" s="20"/>
    </row>
    <row r="29" spans="2:14" x14ac:dyDescent="0.2">
      <c r="B29" s="20" t="s">
        <v>59</v>
      </c>
    </row>
    <row r="30" spans="2:14" x14ac:dyDescent="0.2">
      <c r="B30" s="20" t="s">
        <v>59</v>
      </c>
    </row>
    <row r="31" spans="2:14" x14ac:dyDescent="0.2">
      <c r="B31" s="20" t="s">
        <v>59</v>
      </c>
    </row>
    <row r="32" spans="2:14" x14ac:dyDescent="0.2">
      <c r="B32" s="20" t="s">
        <v>59</v>
      </c>
    </row>
    <row r="33" spans="2:3" x14ac:dyDescent="0.2">
      <c r="B33" s="20" t="s">
        <v>59</v>
      </c>
      <c r="C33" t="s">
        <v>60</v>
      </c>
    </row>
    <row r="34" spans="2:3" x14ac:dyDescent="0.2">
      <c r="B34" s="20" t="s">
        <v>59</v>
      </c>
      <c r="C34" t="s">
        <v>60</v>
      </c>
    </row>
    <row r="35" spans="2:3" x14ac:dyDescent="0.2">
      <c r="B35" s="20" t="s">
        <v>59</v>
      </c>
      <c r="C35" t="s">
        <v>60</v>
      </c>
    </row>
    <row r="36" spans="2:3" x14ac:dyDescent="0.2">
      <c r="B36" s="20" t="s">
        <v>59</v>
      </c>
      <c r="C36" t="s">
        <v>60</v>
      </c>
    </row>
    <row r="37" spans="2:3" x14ac:dyDescent="0.2">
      <c r="B37" s="20" t="s">
        <v>59</v>
      </c>
      <c r="C37" t="s">
        <v>60</v>
      </c>
    </row>
    <row r="38" spans="2:3" x14ac:dyDescent="0.2">
      <c r="B38" s="20" t="s">
        <v>59</v>
      </c>
      <c r="C38" t="s">
        <v>60</v>
      </c>
    </row>
    <row r="39" spans="2:3" x14ac:dyDescent="0.2">
      <c r="B39" s="20" t="s">
        <v>59</v>
      </c>
      <c r="C39" t="s">
        <v>60</v>
      </c>
    </row>
    <row r="40" spans="2:3" x14ac:dyDescent="0.2">
      <c r="B40" s="20" t="s">
        <v>59</v>
      </c>
      <c r="C40" t="s">
        <v>60</v>
      </c>
    </row>
    <row r="41" spans="2:3" x14ac:dyDescent="0.2">
      <c r="B41" s="20" t="s">
        <v>59</v>
      </c>
      <c r="C41" t="s">
        <v>60</v>
      </c>
    </row>
  </sheetData>
  <dataConsolidate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B09A-C3DF-4E45-9AD4-EFF6EE329B14}">
  <dimension ref="B1:Q28"/>
  <sheetViews>
    <sheetView showGridLines="0" workbookViewId="0"/>
  </sheetViews>
  <sheetFormatPr baseColWidth="10" defaultRowHeight="16" x14ac:dyDescent="0.2"/>
  <cols>
    <col min="1" max="1" width="2.83203125" customWidth="1"/>
    <col min="2" max="2" width="14.33203125" customWidth="1"/>
    <col min="3" max="4" width="8.1640625" customWidth="1"/>
    <col min="5" max="5" width="14.33203125" customWidth="1"/>
    <col min="6" max="7" width="8.1640625" customWidth="1"/>
    <col min="8" max="8" width="14.33203125" customWidth="1"/>
    <col min="9" max="10" width="8.1640625" customWidth="1"/>
    <col min="11" max="11" width="2.83203125" customWidth="1"/>
    <col min="12" max="12" width="11.6640625" bestFit="1" customWidth="1"/>
    <col min="13" max="13" width="9" bestFit="1" customWidth="1"/>
    <col min="14" max="14" width="7" bestFit="1" customWidth="1"/>
    <col min="15" max="15" width="6.1640625" bestFit="1" customWidth="1"/>
    <col min="16" max="16" width="8" bestFit="1" customWidth="1"/>
    <col min="17" max="17" width="6.1640625" bestFit="1" customWidth="1"/>
  </cols>
  <sheetData>
    <row r="1" spans="2:17" ht="17" thickBot="1" x14ac:dyDescent="0.25"/>
    <row r="2" spans="2:17" ht="17" thickBot="1" x14ac:dyDescent="0.25">
      <c r="B2" s="37" t="s">
        <v>26</v>
      </c>
      <c r="C2" s="31"/>
      <c r="D2" s="32"/>
      <c r="E2" s="37" t="s">
        <v>303</v>
      </c>
      <c r="F2" s="31"/>
      <c r="G2" s="32"/>
      <c r="H2" s="37" t="s">
        <v>302</v>
      </c>
      <c r="I2" s="31"/>
      <c r="J2" s="32"/>
      <c r="M2" s="2"/>
      <c r="N2" s="3" t="s">
        <v>1</v>
      </c>
      <c r="O2" s="3"/>
      <c r="P2" s="3" t="s">
        <v>2</v>
      </c>
      <c r="Q2" s="3"/>
    </row>
    <row r="3" spans="2:17" x14ac:dyDescent="0.2">
      <c r="B3" s="33" t="s">
        <v>71</v>
      </c>
      <c r="C3" s="38" t="s">
        <v>1</v>
      </c>
      <c r="D3" s="39" t="s">
        <v>2</v>
      </c>
      <c r="E3" s="33" t="s">
        <v>71</v>
      </c>
      <c r="F3" s="38" t="s">
        <v>1</v>
      </c>
      <c r="G3" s="39" t="s">
        <v>2</v>
      </c>
      <c r="H3" s="33" t="s">
        <v>71</v>
      </c>
      <c r="I3" s="38" t="s">
        <v>1</v>
      </c>
      <c r="J3" s="39" t="s">
        <v>2</v>
      </c>
      <c r="L3" s="5"/>
      <c r="M3" s="17" t="s">
        <v>0</v>
      </c>
      <c r="N3" s="6">
        <v>5921</v>
      </c>
      <c r="O3" s="7">
        <f>N3/(N3+P3)</f>
        <v>0.34833509824685255</v>
      </c>
      <c r="P3" s="6">
        <v>11077</v>
      </c>
      <c r="Q3" s="8">
        <f>P3/(N3+P3)</f>
        <v>0.6516649017531474</v>
      </c>
    </row>
    <row r="4" spans="2:17" x14ac:dyDescent="0.2">
      <c r="B4" s="34" t="s">
        <v>181</v>
      </c>
      <c r="C4" s="40">
        <v>43.4</v>
      </c>
      <c r="D4" s="41">
        <v>56.6</v>
      </c>
      <c r="E4" s="34" t="s">
        <v>261</v>
      </c>
      <c r="F4" s="40">
        <v>42.5</v>
      </c>
      <c r="G4" s="41">
        <v>57.5</v>
      </c>
      <c r="H4" s="34" t="s">
        <v>270</v>
      </c>
      <c r="I4" s="40">
        <v>39.5</v>
      </c>
      <c r="J4" s="41">
        <v>60.5</v>
      </c>
      <c r="L4" s="9" t="s">
        <v>6</v>
      </c>
      <c r="M4" s="18" t="s">
        <v>3</v>
      </c>
      <c r="N4" s="10">
        <v>1854</v>
      </c>
      <c r="O4" s="11">
        <f>N4/(N4+P4)</f>
        <v>0.36210937500000001</v>
      </c>
      <c r="P4" s="10">
        <v>3266</v>
      </c>
      <c r="Q4" s="12">
        <f>P4/(N4+P4)</f>
        <v>0.63789062500000004</v>
      </c>
    </row>
    <row r="5" spans="2:17" ht="17" thickBot="1" x14ac:dyDescent="0.25">
      <c r="B5" s="35" t="s">
        <v>172</v>
      </c>
      <c r="C5" s="42">
        <v>38.5</v>
      </c>
      <c r="D5" s="43">
        <v>61.5</v>
      </c>
      <c r="E5" s="35" t="s">
        <v>262</v>
      </c>
      <c r="F5" s="42">
        <v>39.4</v>
      </c>
      <c r="G5" s="43">
        <v>60.6</v>
      </c>
      <c r="H5" s="35" t="s">
        <v>271</v>
      </c>
      <c r="I5" s="42">
        <v>41.2</v>
      </c>
      <c r="J5" s="43">
        <v>58.8</v>
      </c>
      <c r="L5" s="13"/>
      <c r="M5" s="19" t="s">
        <v>4</v>
      </c>
      <c r="N5" s="14">
        <v>4067</v>
      </c>
      <c r="O5" s="52">
        <f>N5/(N5+P5)</f>
        <v>0.34239771005219732</v>
      </c>
      <c r="P5" s="14">
        <v>7811</v>
      </c>
      <c r="Q5" s="53">
        <f>P5/(N5+P5)</f>
        <v>0.65760228994780268</v>
      </c>
    </row>
    <row r="6" spans="2:17" x14ac:dyDescent="0.2">
      <c r="B6" s="34" t="s">
        <v>173</v>
      </c>
      <c r="C6" s="40">
        <v>38.1</v>
      </c>
      <c r="D6" s="41">
        <v>61.9</v>
      </c>
      <c r="E6" s="34" t="s">
        <v>263</v>
      </c>
      <c r="F6" s="40">
        <v>38</v>
      </c>
      <c r="G6" s="41">
        <v>62</v>
      </c>
      <c r="H6" s="34" t="s">
        <v>272</v>
      </c>
      <c r="I6" s="40">
        <v>37.1</v>
      </c>
      <c r="J6" s="41">
        <v>62.9</v>
      </c>
    </row>
    <row r="7" spans="2:17" x14ac:dyDescent="0.2">
      <c r="B7" s="35" t="s">
        <v>174</v>
      </c>
      <c r="C7" s="42">
        <v>38.200000000000003</v>
      </c>
      <c r="D7" s="43">
        <v>61.8</v>
      </c>
      <c r="E7" s="35" t="s">
        <v>264</v>
      </c>
      <c r="F7" s="42">
        <v>37.700000000000003</v>
      </c>
      <c r="G7" s="43">
        <v>62.3</v>
      </c>
      <c r="H7" s="35" t="s">
        <v>273</v>
      </c>
      <c r="I7" s="42">
        <v>34.5</v>
      </c>
      <c r="J7" s="43">
        <v>65.5</v>
      </c>
    </row>
    <row r="8" spans="2:17" x14ac:dyDescent="0.2">
      <c r="B8" s="34" t="s">
        <v>175</v>
      </c>
      <c r="C8" s="40">
        <v>34.799999999999997</v>
      </c>
      <c r="D8" s="41">
        <v>65.2</v>
      </c>
      <c r="E8" s="34" t="s">
        <v>234</v>
      </c>
      <c r="F8" s="40">
        <v>35.9</v>
      </c>
      <c r="G8" s="41">
        <v>64.099999999999994</v>
      </c>
      <c r="H8" s="34" t="s">
        <v>274</v>
      </c>
      <c r="I8" s="40">
        <v>33.799999999999997</v>
      </c>
      <c r="J8" s="41">
        <v>66.2</v>
      </c>
    </row>
    <row r="9" spans="2:17" x14ac:dyDescent="0.2">
      <c r="B9" s="35" t="s">
        <v>176</v>
      </c>
      <c r="C9" s="42">
        <v>34.1</v>
      </c>
      <c r="D9" s="43">
        <v>65.900000000000006</v>
      </c>
      <c r="E9" s="35" t="s">
        <v>265</v>
      </c>
      <c r="F9" s="42">
        <v>32.5</v>
      </c>
      <c r="G9" s="43">
        <v>67.5</v>
      </c>
      <c r="H9" s="35" t="s">
        <v>275</v>
      </c>
      <c r="I9" s="42">
        <v>33.5</v>
      </c>
      <c r="J9" s="43">
        <v>66.5</v>
      </c>
    </row>
    <row r="10" spans="2:17" x14ac:dyDescent="0.2">
      <c r="B10" s="34" t="s">
        <v>177</v>
      </c>
      <c r="C10" s="40">
        <v>31.8</v>
      </c>
      <c r="D10" s="41">
        <v>68.2</v>
      </c>
      <c r="E10" s="34" t="s">
        <v>266</v>
      </c>
      <c r="F10" s="40">
        <v>32.200000000000003</v>
      </c>
      <c r="G10" s="41">
        <v>67.8</v>
      </c>
      <c r="H10" s="34" t="s">
        <v>276</v>
      </c>
      <c r="I10" s="40">
        <v>33.6</v>
      </c>
      <c r="J10" s="41">
        <v>66.400000000000006</v>
      </c>
      <c r="M10" s="20"/>
      <c r="N10" s="20" t="s">
        <v>59</v>
      </c>
      <c r="O10" s="20"/>
    </row>
    <row r="11" spans="2:17" x14ac:dyDescent="0.2">
      <c r="B11" s="35" t="s">
        <v>178</v>
      </c>
      <c r="C11" s="42">
        <v>29</v>
      </c>
      <c r="D11" s="43">
        <v>71</v>
      </c>
      <c r="E11" s="35" t="s">
        <v>267</v>
      </c>
      <c r="F11" s="42">
        <v>28.7</v>
      </c>
      <c r="G11" s="43">
        <v>71.3</v>
      </c>
      <c r="H11" s="35" t="s">
        <v>277</v>
      </c>
      <c r="I11" s="42">
        <v>31.6</v>
      </c>
      <c r="J11" s="43">
        <v>68.400000000000006</v>
      </c>
      <c r="M11" s="20"/>
      <c r="N11" s="20" t="s">
        <v>59</v>
      </c>
      <c r="O11" s="20"/>
    </row>
    <row r="12" spans="2:17" x14ac:dyDescent="0.2">
      <c r="B12" s="34" t="s">
        <v>179</v>
      </c>
      <c r="C12" s="40">
        <v>28</v>
      </c>
      <c r="D12" s="41">
        <v>72</v>
      </c>
      <c r="E12" s="34" t="s">
        <v>268</v>
      </c>
      <c r="F12" s="40">
        <v>29.4</v>
      </c>
      <c r="G12" s="41">
        <v>70.599999999999994</v>
      </c>
      <c r="H12" s="34" t="s">
        <v>278</v>
      </c>
      <c r="I12" s="40">
        <v>30.3</v>
      </c>
      <c r="J12" s="41">
        <v>69.7</v>
      </c>
      <c r="M12" s="20"/>
      <c r="N12" s="20" t="s">
        <v>59</v>
      </c>
      <c r="O12" s="20"/>
    </row>
    <row r="13" spans="2:17" x14ac:dyDescent="0.2">
      <c r="B13" s="46" t="s">
        <v>180</v>
      </c>
      <c r="C13" s="47">
        <v>26.4</v>
      </c>
      <c r="D13" s="48">
        <v>73.599999999999994</v>
      </c>
      <c r="E13" s="49" t="s">
        <v>269</v>
      </c>
      <c r="F13" s="50">
        <v>26.2</v>
      </c>
      <c r="G13" s="51">
        <v>73.8</v>
      </c>
      <c r="H13" s="35" t="s">
        <v>279</v>
      </c>
      <c r="I13" s="42">
        <v>27.3</v>
      </c>
      <c r="J13" s="43">
        <v>72.7</v>
      </c>
      <c r="M13" s="20"/>
      <c r="N13" s="20" t="s">
        <v>59</v>
      </c>
      <c r="O13" s="20"/>
    </row>
    <row r="14" spans="2:17" ht="17" thickBot="1" x14ac:dyDescent="0.25">
      <c r="B14" s="36" t="s">
        <v>300</v>
      </c>
      <c r="C14" s="44">
        <v>4067</v>
      </c>
      <c r="D14" s="45">
        <v>7811</v>
      </c>
      <c r="E14" s="36"/>
      <c r="F14" s="44">
        <v>4067</v>
      </c>
      <c r="G14" s="45">
        <v>7811</v>
      </c>
      <c r="H14" s="36"/>
      <c r="I14" s="44">
        <v>4067</v>
      </c>
      <c r="J14" s="45">
        <v>7811</v>
      </c>
      <c r="N14" s="20" t="s">
        <v>59</v>
      </c>
    </row>
    <row r="16" spans="2:17" x14ac:dyDescent="0.2">
      <c r="B16" s="20" t="s">
        <v>59</v>
      </c>
    </row>
    <row r="17" spans="2:14" x14ac:dyDescent="0.2">
      <c r="B17" s="20" t="s">
        <v>59</v>
      </c>
    </row>
    <row r="18" spans="2:14" x14ac:dyDescent="0.2">
      <c r="B18" s="20" t="s">
        <v>59</v>
      </c>
      <c r="N18" s="20"/>
    </row>
    <row r="19" spans="2:14" x14ac:dyDescent="0.2">
      <c r="B19" s="20" t="s">
        <v>59</v>
      </c>
      <c r="N19" s="20"/>
    </row>
    <row r="20" spans="2:14" x14ac:dyDescent="0.2">
      <c r="B20" s="20" t="s">
        <v>59</v>
      </c>
      <c r="C20" t="s">
        <v>60</v>
      </c>
      <c r="N20" s="20"/>
    </row>
    <row r="21" spans="2:14" x14ac:dyDescent="0.2">
      <c r="B21" s="20" t="s">
        <v>59</v>
      </c>
      <c r="C21" t="s">
        <v>60</v>
      </c>
      <c r="N21" s="20"/>
    </row>
    <row r="22" spans="2:14" x14ac:dyDescent="0.2">
      <c r="B22" s="20" t="s">
        <v>59</v>
      </c>
      <c r="C22" t="s">
        <v>60</v>
      </c>
      <c r="N22" s="20"/>
    </row>
    <row r="23" spans="2:14" x14ac:dyDescent="0.2">
      <c r="B23" s="20" t="s">
        <v>59</v>
      </c>
      <c r="C23" t="s">
        <v>60</v>
      </c>
      <c r="N23" s="20"/>
    </row>
    <row r="24" spans="2:14" x14ac:dyDescent="0.2">
      <c r="B24" s="20" t="s">
        <v>59</v>
      </c>
      <c r="C24" t="s">
        <v>60</v>
      </c>
      <c r="N24" s="20"/>
    </row>
    <row r="25" spans="2:14" x14ac:dyDescent="0.2">
      <c r="B25" s="20" t="s">
        <v>59</v>
      </c>
      <c r="C25" t="s">
        <v>60</v>
      </c>
      <c r="N25" s="20"/>
    </row>
    <row r="26" spans="2:14" x14ac:dyDescent="0.2">
      <c r="B26" s="20" t="s">
        <v>59</v>
      </c>
      <c r="C26" t="s">
        <v>60</v>
      </c>
      <c r="N26" s="20"/>
    </row>
    <row r="27" spans="2:14" x14ac:dyDescent="0.2">
      <c r="B27" s="20" t="s">
        <v>59</v>
      </c>
      <c r="C27" t="s">
        <v>60</v>
      </c>
      <c r="N27" s="20"/>
    </row>
    <row r="28" spans="2:14" x14ac:dyDescent="0.2">
      <c r="B28" s="20" t="s">
        <v>59</v>
      </c>
      <c r="C28" t="s">
        <v>60</v>
      </c>
      <c r="N28" s="20"/>
    </row>
  </sheetData>
  <dataConsolidate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6E53-4FAC-6B48-9A17-670F43E7A38F}">
  <dimension ref="B2:O45"/>
  <sheetViews>
    <sheetView showGridLines="0" workbookViewId="0">
      <selection activeCell="K17" sqref="K17:O30"/>
    </sheetView>
  </sheetViews>
  <sheetFormatPr baseColWidth="10" defaultRowHeight="16" x14ac:dyDescent="0.2"/>
  <cols>
    <col min="1" max="1" width="2.83203125" style="23" customWidth="1"/>
    <col min="2" max="2" width="14" style="23" bestFit="1" customWidth="1"/>
    <col min="3" max="10" width="10.83203125" style="23"/>
    <col min="11" max="11" width="34.5" style="23" bestFit="1" customWidth="1"/>
    <col min="12" max="13" width="10.83203125" style="23"/>
    <col min="14" max="14" width="11" style="23" customWidth="1"/>
    <col min="15" max="15" width="14.1640625" style="23" customWidth="1"/>
    <col min="16" max="16384" width="10.83203125" style="23"/>
  </cols>
  <sheetData>
    <row r="2" spans="2:15" x14ac:dyDescent="0.2">
      <c r="B2" s="21" t="s">
        <v>9</v>
      </c>
      <c r="C2" s="22" t="s">
        <v>10</v>
      </c>
      <c r="D2" s="22" t="s">
        <v>11</v>
      </c>
      <c r="E2" s="22" t="s">
        <v>12</v>
      </c>
      <c r="F2" s="22" t="s">
        <v>13</v>
      </c>
      <c r="G2" s="22" t="s">
        <v>14</v>
      </c>
      <c r="H2" s="22" t="s">
        <v>15</v>
      </c>
      <c r="I2" s="22" t="s">
        <v>16</v>
      </c>
      <c r="K2" s="21" t="s">
        <v>7</v>
      </c>
      <c r="L2" s="24" t="s">
        <v>9</v>
      </c>
      <c r="M2" s="24" t="s">
        <v>31</v>
      </c>
      <c r="N2" s="24" t="s">
        <v>47</v>
      </c>
      <c r="O2" s="24" t="s">
        <v>48</v>
      </c>
    </row>
    <row r="3" spans="2:15" x14ac:dyDescent="0.2">
      <c r="B3" s="25" t="s">
        <v>17</v>
      </c>
      <c r="C3" s="26">
        <v>0.5560619</v>
      </c>
      <c r="D3" s="26">
        <v>0.58361289999999999</v>
      </c>
      <c r="E3" s="26">
        <v>0.59928769999999998</v>
      </c>
      <c r="F3" s="26">
        <v>0.59735539999999998</v>
      </c>
      <c r="G3" s="26">
        <v>0.60925810000000002</v>
      </c>
      <c r="H3" s="26">
        <v>0.62711830000000002</v>
      </c>
      <c r="I3" s="25">
        <v>0</v>
      </c>
      <c r="K3" s="27" t="s">
        <v>54</v>
      </c>
      <c r="L3" s="28">
        <v>0.59735539999999998</v>
      </c>
      <c r="M3" s="28">
        <v>0.11919540000000001</v>
      </c>
      <c r="N3" s="28">
        <v>0.94394219999999995</v>
      </c>
      <c r="O3" s="30" t="s">
        <v>34</v>
      </c>
    </row>
    <row r="4" spans="2:15" x14ac:dyDescent="0.2">
      <c r="B4" s="27" t="s">
        <v>18</v>
      </c>
      <c r="C4" s="28">
        <v>0.54129799999999995</v>
      </c>
      <c r="D4" s="28">
        <v>0.56594219999999995</v>
      </c>
      <c r="E4" s="28">
        <v>0.58281179999999999</v>
      </c>
      <c r="F4" s="28">
        <v>0.57841480000000001</v>
      </c>
      <c r="G4" s="28">
        <v>0.59217359999999997</v>
      </c>
      <c r="H4" s="28">
        <v>0.61106740000000004</v>
      </c>
      <c r="I4" s="27">
        <v>0</v>
      </c>
      <c r="K4" s="27" t="s">
        <v>49</v>
      </c>
      <c r="L4" s="28">
        <v>0.57841480000000001</v>
      </c>
      <c r="M4" s="28">
        <v>0.21292079999999999</v>
      </c>
      <c r="N4" s="28">
        <v>0.86005880000000001</v>
      </c>
      <c r="O4" s="30" t="s">
        <v>35</v>
      </c>
    </row>
    <row r="5" spans="2:15" x14ac:dyDescent="0.2">
      <c r="B5" s="27" t="s">
        <v>19</v>
      </c>
      <c r="C5" s="28">
        <v>0.52032920000000005</v>
      </c>
      <c r="D5" s="28">
        <v>0.56619010000000003</v>
      </c>
      <c r="E5" s="28">
        <v>0.57692770000000004</v>
      </c>
      <c r="F5" s="28">
        <v>0.58275840000000001</v>
      </c>
      <c r="G5" s="28">
        <v>0.59622419999999998</v>
      </c>
      <c r="H5" s="28">
        <v>0.66097830000000002</v>
      </c>
      <c r="I5" s="27">
        <v>0</v>
      </c>
      <c r="K5" s="27" t="s">
        <v>52</v>
      </c>
      <c r="L5" s="28">
        <v>0.58275840000000001</v>
      </c>
      <c r="M5" s="28">
        <v>4.0249600000000003E-2</v>
      </c>
      <c r="N5" s="28">
        <v>0.98016309999999995</v>
      </c>
      <c r="O5" s="30" t="s">
        <v>36</v>
      </c>
    </row>
    <row r="6" spans="2:15" x14ac:dyDescent="0.2">
      <c r="B6" s="27" t="s">
        <v>20</v>
      </c>
      <c r="C6" s="28">
        <v>0.54242029999999997</v>
      </c>
      <c r="D6" s="28">
        <v>0.57753140000000003</v>
      </c>
      <c r="E6" s="28">
        <v>0.58697759999999999</v>
      </c>
      <c r="F6" s="28">
        <v>0.59206930000000002</v>
      </c>
      <c r="G6" s="28">
        <v>0.6093826</v>
      </c>
      <c r="H6" s="28">
        <v>0.64188219999999996</v>
      </c>
      <c r="I6" s="27">
        <v>0</v>
      </c>
      <c r="K6" s="27" t="s">
        <v>56</v>
      </c>
      <c r="L6" s="28">
        <v>0.59206930000000002</v>
      </c>
      <c r="M6" s="28">
        <v>2.647797E-2</v>
      </c>
      <c r="N6" s="28">
        <v>0.98680420000000002</v>
      </c>
      <c r="O6" s="30" t="s">
        <v>37</v>
      </c>
    </row>
    <row r="7" spans="2:15" x14ac:dyDescent="0.2">
      <c r="B7" s="27" t="s">
        <v>21</v>
      </c>
      <c r="C7" s="28">
        <v>0.53562719999999997</v>
      </c>
      <c r="D7" s="28">
        <v>0.55713000000000001</v>
      </c>
      <c r="E7" s="28">
        <v>0.57461059999999997</v>
      </c>
      <c r="F7" s="28">
        <v>0.57437689999999997</v>
      </c>
      <c r="G7" s="28">
        <v>0.58642050000000001</v>
      </c>
      <c r="H7" s="28">
        <v>0.62667030000000001</v>
      </c>
      <c r="I7" s="27">
        <v>0</v>
      </c>
      <c r="K7" s="27" t="s">
        <v>57</v>
      </c>
      <c r="L7" s="28">
        <v>0.57437689999999997</v>
      </c>
      <c r="M7" s="28">
        <v>1.3768910000000001E-2</v>
      </c>
      <c r="N7" s="28">
        <v>0.98983500000000002</v>
      </c>
      <c r="O7" s="30" t="s">
        <v>38</v>
      </c>
    </row>
    <row r="8" spans="2:15" x14ac:dyDescent="0.2">
      <c r="B8" s="27" t="s">
        <v>22</v>
      </c>
      <c r="C8" s="28">
        <v>0.53904280000000004</v>
      </c>
      <c r="D8" s="28">
        <v>0.57113069999999999</v>
      </c>
      <c r="E8" s="28">
        <v>0.59109089999999997</v>
      </c>
      <c r="F8" s="28">
        <v>0.58904999999999996</v>
      </c>
      <c r="G8" s="28">
        <v>0.60551900000000003</v>
      </c>
      <c r="H8" s="28">
        <v>0.63772139999999999</v>
      </c>
      <c r="I8" s="27">
        <v>0</v>
      </c>
      <c r="K8" s="27" t="s">
        <v>56</v>
      </c>
      <c r="L8" s="28">
        <v>0.58904999999999996</v>
      </c>
      <c r="M8" s="28">
        <v>7.1096930000000003E-2</v>
      </c>
      <c r="N8" s="28">
        <v>0.96402949999999998</v>
      </c>
      <c r="O8" s="30" t="s">
        <v>39</v>
      </c>
    </row>
    <row r="9" spans="2:15" x14ac:dyDescent="0.2">
      <c r="B9" s="27" t="s">
        <v>23</v>
      </c>
      <c r="C9" s="28">
        <v>0.51084050000000003</v>
      </c>
      <c r="D9" s="28">
        <v>0.52741950000000004</v>
      </c>
      <c r="E9" s="28">
        <v>0.53770419999999997</v>
      </c>
      <c r="F9" s="28">
        <v>0.54145200000000004</v>
      </c>
      <c r="G9" s="28">
        <v>0.5536394</v>
      </c>
      <c r="H9" s="28">
        <v>0.58747819999999995</v>
      </c>
      <c r="I9" s="27">
        <v>0</v>
      </c>
      <c r="K9" s="27" t="s">
        <v>51</v>
      </c>
      <c r="L9" s="28">
        <v>0.54145200000000004</v>
      </c>
      <c r="M9" s="28">
        <v>0.1970713</v>
      </c>
      <c r="N9" s="28">
        <v>0.84745740000000003</v>
      </c>
      <c r="O9" s="30" t="s">
        <v>40</v>
      </c>
    </row>
    <row r="10" spans="2:15" x14ac:dyDescent="0.2">
      <c r="B10" s="27" t="s">
        <v>24</v>
      </c>
      <c r="C10" s="28">
        <v>0.50623130000000005</v>
      </c>
      <c r="D10" s="28">
        <v>0.52791880000000002</v>
      </c>
      <c r="E10" s="28">
        <v>0.54698849999999999</v>
      </c>
      <c r="F10" s="28">
        <v>0.55009969999999997</v>
      </c>
      <c r="G10" s="28">
        <v>0.57130769999999997</v>
      </c>
      <c r="H10" s="28">
        <v>0.60862720000000003</v>
      </c>
      <c r="I10" s="27">
        <v>0</v>
      </c>
      <c r="K10" s="27" t="s">
        <v>58</v>
      </c>
      <c r="L10" s="28">
        <v>0.55009969999999997</v>
      </c>
      <c r="M10" s="28">
        <v>3.2246219999999999E-2</v>
      </c>
      <c r="N10" s="28">
        <v>0.98126650000000004</v>
      </c>
      <c r="O10" s="30" t="s">
        <v>41</v>
      </c>
    </row>
    <row r="11" spans="2:15" x14ac:dyDescent="0.2">
      <c r="B11" s="27" t="s">
        <v>25</v>
      </c>
      <c r="C11" s="28">
        <v>0.50299870000000002</v>
      </c>
      <c r="D11" s="28">
        <v>0.52185899999999996</v>
      </c>
      <c r="E11" s="28">
        <v>0.54850840000000001</v>
      </c>
      <c r="F11" s="28">
        <v>0.54720060000000004</v>
      </c>
      <c r="G11" s="28">
        <v>0.56640469999999998</v>
      </c>
      <c r="H11" s="28">
        <v>0.60866659999999995</v>
      </c>
      <c r="I11" s="27">
        <v>0</v>
      </c>
      <c r="K11" s="27" t="s">
        <v>58</v>
      </c>
      <c r="L11" s="28">
        <v>0.54720060000000004</v>
      </c>
      <c r="M11" s="28">
        <v>3.2418009999999997E-2</v>
      </c>
      <c r="N11" s="28">
        <v>0.98227489999999995</v>
      </c>
      <c r="O11" s="30" t="s">
        <v>42</v>
      </c>
    </row>
    <row r="12" spans="2:15" x14ac:dyDescent="0.2">
      <c r="B12" s="27" t="s">
        <v>26</v>
      </c>
      <c r="C12" s="28">
        <v>0.55563450000000003</v>
      </c>
      <c r="D12" s="28">
        <v>0.57394789999999996</v>
      </c>
      <c r="E12" s="28">
        <v>0.59105750000000001</v>
      </c>
      <c r="F12" s="28">
        <v>0.59154910000000005</v>
      </c>
      <c r="G12" s="28">
        <v>0.61079059999999996</v>
      </c>
      <c r="H12" s="28">
        <v>0.63154290000000002</v>
      </c>
      <c r="I12" s="27">
        <v>0</v>
      </c>
      <c r="K12" s="27" t="s">
        <v>55</v>
      </c>
      <c r="L12" s="28">
        <v>0.59154910000000005</v>
      </c>
      <c r="M12" s="28">
        <v>8.0156519999999995E-2</v>
      </c>
      <c r="N12" s="28">
        <v>0.95898550000000005</v>
      </c>
      <c r="O12" s="30" t="s">
        <v>43</v>
      </c>
    </row>
    <row r="13" spans="2:15" x14ac:dyDescent="0.2">
      <c r="B13" s="27" t="s">
        <v>27</v>
      </c>
      <c r="C13" s="28">
        <v>0.54002720000000004</v>
      </c>
      <c r="D13" s="28">
        <v>0.56879389999999996</v>
      </c>
      <c r="E13" s="28">
        <v>0.57975480000000001</v>
      </c>
      <c r="F13" s="28">
        <v>0.58338029999999996</v>
      </c>
      <c r="G13" s="28">
        <v>0.60135260000000001</v>
      </c>
      <c r="H13" s="28">
        <v>0.63178020000000001</v>
      </c>
      <c r="I13" s="27">
        <v>0</v>
      </c>
      <c r="K13" s="27" t="s">
        <v>53</v>
      </c>
      <c r="L13" s="28">
        <v>0.58338029999999996</v>
      </c>
      <c r="M13" s="28">
        <v>7.5099079999999999E-2</v>
      </c>
      <c r="N13" s="28">
        <v>0.96217660000000005</v>
      </c>
      <c r="O13" s="30" t="s">
        <v>44</v>
      </c>
    </row>
    <row r="14" spans="2:15" x14ac:dyDescent="0.2">
      <c r="B14" s="27" t="s">
        <v>28</v>
      </c>
      <c r="C14" s="28">
        <v>0.5</v>
      </c>
      <c r="D14" s="28">
        <v>0.5</v>
      </c>
      <c r="E14" s="28">
        <v>0.5</v>
      </c>
      <c r="F14" s="28">
        <v>0.51534000000000002</v>
      </c>
      <c r="G14" s="28">
        <v>0.53273839999999995</v>
      </c>
      <c r="H14" s="28">
        <v>0.59243409999999996</v>
      </c>
      <c r="I14" s="27">
        <v>0</v>
      </c>
      <c r="K14" s="27" t="s">
        <v>28</v>
      </c>
      <c r="L14" s="28">
        <v>0.51534000000000002</v>
      </c>
      <c r="M14" s="28">
        <v>1.167557E-2</v>
      </c>
      <c r="N14" s="28">
        <v>0.99117670000000002</v>
      </c>
      <c r="O14" s="30" t="s">
        <v>45</v>
      </c>
    </row>
    <row r="15" spans="2:15" x14ac:dyDescent="0.2">
      <c r="B15" s="27" t="s">
        <v>29</v>
      </c>
      <c r="C15" s="28">
        <v>0.49910100000000002</v>
      </c>
      <c r="D15" s="28">
        <v>0.52174370000000003</v>
      </c>
      <c r="E15" s="28">
        <v>0.53881369999999995</v>
      </c>
      <c r="F15" s="28">
        <v>0.53959349999999995</v>
      </c>
      <c r="G15" s="28">
        <v>0.55348030000000004</v>
      </c>
      <c r="H15" s="28">
        <v>0.58224260000000005</v>
      </c>
      <c r="I15" s="27">
        <v>0</v>
      </c>
      <c r="K15" s="27" t="s">
        <v>50</v>
      </c>
      <c r="L15" s="28">
        <v>0.53959349999999995</v>
      </c>
      <c r="M15" s="28">
        <v>0.1003454</v>
      </c>
      <c r="N15" s="28">
        <v>0.94099710000000003</v>
      </c>
      <c r="O15" s="30" t="s">
        <v>46</v>
      </c>
    </row>
    <row r="16" spans="2:15" x14ac:dyDescent="0.2">
      <c r="B16" s="29"/>
    </row>
    <row r="17" spans="2:15" x14ac:dyDescent="0.2">
      <c r="B17" s="21" t="s">
        <v>31</v>
      </c>
      <c r="C17" s="22" t="s">
        <v>10</v>
      </c>
      <c r="D17" s="22" t="s">
        <v>11</v>
      </c>
      <c r="E17" s="22" t="s">
        <v>12</v>
      </c>
      <c r="F17" s="22" t="s">
        <v>13</v>
      </c>
      <c r="G17" s="22" t="s">
        <v>14</v>
      </c>
      <c r="H17" s="22" t="s">
        <v>15</v>
      </c>
      <c r="I17" s="22" t="s">
        <v>16</v>
      </c>
      <c r="K17" s="21" t="s">
        <v>7</v>
      </c>
      <c r="L17" s="24" t="s">
        <v>9</v>
      </c>
      <c r="M17" s="24" t="s">
        <v>31</v>
      </c>
      <c r="N17" s="24" t="s">
        <v>47</v>
      </c>
      <c r="O17" s="24" t="s">
        <v>48</v>
      </c>
    </row>
    <row r="18" spans="2:15" x14ac:dyDescent="0.2">
      <c r="B18" s="25" t="s">
        <v>17</v>
      </c>
      <c r="C18" s="26">
        <v>8.9005239999999999E-2</v>
      </c>
      <c r="D18" s="26">
        <v>9.4240837999999993E-2</v>
      </c>
      <c r="E18" s="26">
        <v>0.115183246</v>
      </c>
      <c r="F18" s="26">
        <v>0.11919539</v>
      </c>
      <c r="G18" s="26">
        <v>0.13481675400000001</v>
      </c>
      <c r="H18" s="26">
        <v>0.17277487</v>
      </c>
      <c r="I18" s="25">
        <v>0</v>
      </c>
      <c r="K18" s="27" t="s">
        <v>54</v>
      </c>
      <c r="L18" s="28">
        <v>0.59735539999999998</v>
      </c>
      <c r="M18" s="28">
        <v>0.11919540000000001</v>
      </c>
      <c r="N18" s="28">
        <v>0.94394219999999995</v>
      </c>
      <c r="O18" s="30" t="s">
        <v>34</v>
      </c>
    </row>
    <row r="19" spans="2:15" x14ac:dyDescent="0.2">
      <c r="B19" s="27" t="s">
        <v>18</v>
      </c>
      <c r="C19" s="28">
        <v>0.17801047</v>
      </c>
      <c r="D19" s="28">
        <v>0.19895288</v>
      </c>
      <c r="E19" s="28">
        <v>0.21148287499999999</v>
      </c>
      <c r="F19" s="28">
        <v>0.21292084999999999</v>
      </c>
      <c r="G19" s="28">
        <v>0.229057592</v>
      </c>
      <c r="H19" s="28">
        <v>0.24607329999999999</v>
      </c>
      <c r="I19" s="27">
        <v>0</v>
      </c>
      <c r="K19" s="27" t="s">
        <v>56</v>
      </c>
      <c r="L19" s="28">
        <v>0.59206930000000002</v>
      </c>
      <c r="M19" s="28">
        <v>2.647797E-2</v>
      </c>
      <c r="N19" s="28">
        <v>0.98680420000000002</v>
      </c>
      <c r="O19" s="30" t="s">
        <v>37</v>
      </c>
    </row>
    <row r="20" spans="2:15" x14ac:dyDescent="0.2">
      <c r="B20" s="27" t="s">
        <v>19</v>
      </c>
      <c r="C20" s="28">
        <v>2.0833330000000001E-2</v>
      </c>
      <c r="D20" s="28">
        <v>3.1413613E-2</v>
      </c>
      <c r="E20" s="28">
        <v>4.1666666999999998E-2</v>
      </c>
      <c r="F20" s="28">
        <v>4.0249600000000003E-2</v>
      </c>
      <c r="G20" s="28">
        <v>4.5811518000000002E-2</v>
      </c>
      <c r="H20" s="28">
        <v>7.3298429999999998E-2</v>
      </c>
      <c r="I20" s="27">
        <v>0</v>
      </c>
      <c r="K20" s="27" t="s">
        <v>55</v>
      </c>
      <c r="L20" s="28">
        <v>0.59154910000000005</v>
      </c>
      <c r="M20" s="28">
        <v>8.0156519999999995E-2</v>
      </c>
      <c r="N20" s="28">
        <v>0.95898550000000005</v>
      </c>
      <c r="O20" s="30" t="s">
        <v>43</v>
      </c>
    </row>
    <row r="21" spans="2:15" x14ac:dyDescent="0.2">
      <c r="B21" s="27" t="s">
        <v>20</v>
      </c>
      <c r="C21" s="28">
        <v>0</v>
      </c>
      <c r="D21" s="28">
        <v>1.6988438000000002E-2</v>
      </c>
      <c r="E21" s="28">
        <v>2.6109838999999999E-2</v>
      </c>
      <c r="F21" s="28">
        <v>2.647797E-2</v>
      </c>
      <c r="G21" s="28">
        <v>3.6458333000000002E-2</v>
      </c>
      <c r="H21" s="28">
        <v>6.2827229999999998E-2</v>
      </c>
      <c r="I21" s="27">
        <v>0</v>
      </c>
      <c r="K21" s="27" t="s">
        <v>56</v>
      </c>
      <c r="L21" s="28">
        <v>0.58904999999999996</v>
      </c>
      <c r="M21" s="28">
        <v>7.1096930000000003E-2</v>
      </c>
      <c r="N21" s="28">
        <v>0.96402949999999998</v>
      </c>
      <c r="O21" s="30" t="s">
        <v>39</v>
      </c>
    </row>
    <row r="22" spans="2:15" x14ac:dyDescent="0.2">
      <c r="B22" s="27" t="s">
        <v>21</v>
      </c>
      <c r="C22" s="28">
        <v>0</v>
      </c>
      <c r="D22" s="28">
        <v>5.2356019999999998E-3</v>
      </c>
      <c r="E22" s="28">
        <v>7.8261340000000002E-3</v>
      </c>
      <c r="F22" s="28">
        <v>1.3768910000000001E-2</v>
      </c>
      <c r="G22" s="28">
        <v>1.5706806E-2</v>
      </c>
      <c r="H22" s="28">
        <v>5.2356020000000003E-2</v>
      </c>
      <c r="I22" s="27">
        <v>0</v>
      </c>
      <c r="K22" s="27" t="s">
        <v>53</v>
      </c>
      <c r="L22" s="28">
        <v>0.58338029999999996</v>
      </c>
      <c r="M22" s="28">
        <v>7.5099079999999999E-2</v>
      </c>
      <c r="N22" s="28">
        <v>0.96217660000000005</v>
      </c>
      <c r="O22" s="30" t="s">
        <v>44</v>
      </c>
    </row>
    <row r="23" spans="2:15" x14ac:dyDescent="0.2">
      <c r="B23" s="27" t="s">
        <v>22</v>
      </c>
      <c r="C23" s="28">
        <v>3.6458329999999997E-2</v>
      </c>
      <c r="D23" s="28">
        <v>5.8900524000000003E-2</v>
      </c>
      <c r="E23" s="28">
        <v>6.8062827000000006E-2</v>
      </c>
      <c r="F23" s="28">
        <v>7.1096930000000003E-2</v>
      </c>
      <c r="G23" s="28">
        <v>8.3769633999999996E-2</v>
      </c>
      <c r="H23" s="28">
        <v>0.10471204000000001</v>
      </c>
      <c r="I23" s="27">
        <v>0</v>
      </c>
      <c r="K23" s="27" t="s">
        <v>52</v>
      </c>
      <c r="L23" s="28">
        <v>0.58275840000000001</v>
      </c>
      <c r="M23" s="28">
        <v>4.0249600000000003E-2</v>
      </c>
      <c r="N23" s="28">
        <v>0.98016309999999995</v>
      </c>
      <c r="O23" s="30" t="s">
        <v>36</v>
      </c>
    </row>
    <row r="24" spans="2:15" x14ac:dyDescent="0.2">
      <c r="B24" s="27" t="s">
        <v>23</v>
      </c>
      <c r="C24" s="28">
        <v>0.14659686</v>
      </c>
      <c r="D24" s="28">
        <v>0.18324607300000001</v>
      </c>
      <c r="E24" s="28">
        <v>0.193199171</v>
      </c>
      <c r="F24" s="28">
        <v>0.19707134000000001</v>
      </c>
      <c r="G24" s="28">
        <v>0.21465968599999999</v>
      </c>
      <c r="H24" s="28">
        <v>0.24607329999999999</v>
      </c>
      <c r="I24" s="27">
        <v>0</v>
      </c>
      <c r="K24" s="27" t="s">
        <v>49</v>
      </c>
      <c r="L24" s="28">
        <v>0.57841480000000001</v>
      </c>
      <c r="M24" s="28">
        <v>0.21292079999999999</v>
      </c>
      <c r="N24" s="28">
        <v>0.86005880000000001</v>
      </c>
      <c r="O24" s="30" t="s">
        <v>35</v>
      </c>
    </row>
    <row r="25" spans="2:15" x14ac:dyDescent="0.2">
      <c r="B25" s="27" t="s">
        <v>24</v>
      </c>
      <c r="C25" s="28">
        <v>0</v>
      </c>
      <c r="D25" s="28">
        <v>1.1759653E-2</v>
      </c>
      <c r="E25" s="28">
        <v>1.8270069999999999E-2</v>
      </c>
      <c r="F25" s="28">
        <v>3.2246219999999999E-2</v>
      </c>
      <c r="G25" s="28">
        <v>3.6601493999999998E-2</v>
      </c>
      <c r="H25" s="28">
        <v>0.24607329999999999</v>
      </c>
      <c r="I25" s="27">
        <v>0</v>
      </c>
      <c r="K25" s="27" t="s">
        <v>57</v>
      </c>
      <c r="L25" s="28">
        <v>0.57437689999999997</v>
      </c>
      <c r="M25" s="28">
        <v>1.3768910000000001E-2</v>
      </c>
      <c r="N25" s="28">
        <v>0.98983500000000002</v>
      </c>
      <c r="O25" s="30" t="s">
        <v>38</v>
      </c>
    </row>
    <row r="26" spans="2:15" x14ac:dyDescent="0.2">
      <c r="B26" s="27" t="s">
        <v>25</v>
      </c>
      <c r="C26" s="28">
        <v>0</v>
      </c>
      <c r="D26" s="28">
        <v>1.0471204E-2</v>
      </c>
      <c r="E26" s="28">
        <v>1.8270069999999999E-2</v>
      </c>
      <c r="F26" s="28">
        <v>3.2418009999999997E-2</v>
      </c>
      <c r="G26" s="28">
        <v>3.5340313999999998E-2</v>
      </c>
      <c r="H26" s="28">
        <v>0.27225131000000002</v>
      </c>
      <c r="I26" s="27">
        <v>0</v>
      </c>
      <c r="K26" s="27" t="s">
        <v>58</v>
      </c>
      <c r="L26" s="28">
        <v>0.55009969999999997</v>
      </c>
      <c r="M26" s="28">
        <v>3.2246219999999999E-2</v>
      </c>
      <c r="N26" s="28">
        <v>0.98126650000000004</v>
      </c>
      <c r="O26" s="30" t="s">
        <v>41</v>
      </c>
    </row>
    <row r="27" spans="2:15" x14ac:dyDescent="0.2">
      <c r="B27" s="27" t="s">
        <v>26</v>
      </c>
      <c r="C27" s="28">
        <v>4.7120420000000003E-2</v>
      </c>
      <c r="D27" s="28">
        <v>6.8062827000000006E-2</v>
      </c>
      <c r="E27" s="28">
        <v>7.5916230000000001E-2</v>
      </c>
      <c r="F27" s="28">
        <v>8.0156519999999995E-2</v>
      </c>
      <c r="G27" s="28">
        <v>9.4240837999999993E-2</v>
      </c>
      <c r="H27" s="28">
        <v>0.10994764</v>
      </c>
      <c r="I27" s="27">
        <v>0</v>
      </c>
      <c r="K27" s="27" t="s">
        <v>58</v>
      </c>
      <c r="L27" s="28">
        <v>0.54720060000000004</v>
      </c>
      <c r="M27" s="28">
        <v>3.2418009999999997E-2</v>
      </c>
      <c r="N27" s="28">
        <v>0.98227489999999995</v>
      </c>
      <c r="O27" s="30" t="s">
        <v>42</v>
      </c>
    </row>
    <row r="28" spans="2:15" x14ac:dyDescent="0.2">
      <c r="B28" s="27" t="s">
        <v>27</v>
      </c>
      <c r="C28" s="28">
        <v>1.5625E-2</v>
      </c>
      <c r="D28" s="28">
        <v>5.8818717E-2</v>
      </c>
      <c r="E28" s="28">
        <v>7.8534031000000004E-2</v>
      </c>
      <c r="F28" s="28">
        <v>7.5099079999999999E-2</v>
      </c>
      <c r="G28" s="28">
        <v>8.9005236000000001E-2</v>
      </c>
      <c r="H28" s="28">
        <v>0.11979167</v>
      </c>
      <c r="I28" s="27">
        <v>0</v>
      </c>
      <c r="K28" s="27" t="s">
        <v>51</v>
      </c>
      <c r="L28" s="28">
        <v>0.54145200000000004</v>
      </c>
      <c r="M28" s="28">
        <v>0.1970713</v>
      </c>
      <c r="N28" s="28">
        <v>0.84745740000000003</v>
      </c>
      <c r="O28" s="30" t="s">
        <v>40</v>
      </c>
    </row>
    <row r="29" spans="2:15" x14ac:dyDescent="0.2">
      <c r="B29" s="27" t="s">
        <v>28</v>
      </c>
      <c r="C29" s="28">
        <v>0</v>
      </c>
      <c r="D29" s="28">
        <v>0</v>
      </c>
      <c r="E29" s="28">
        <v>0</v>
      </c>
      <c r="F29" s="28">
        <v>1.167557E-2</v>
      </c>
      <c r="G29" s="28">
        <v>7.8534030000000001E-3</v>
      </c>
      <c r="H29" s="28">
        <v>8.3769629999999998E-2</v>
      </c>
      <c r="I29" s="27">
        <v>0</v>
      </c>
      <c r="K29" s="27" t="s">
        <v>50</v>
      </c>
      <c r="L29" s="28">
        <v>0.53959349999999995</v>
      </c>
      <c r="M29" s="28">
        <v>0.1003454</v>
      </c>
      <c r="N29" s="28">
        <v>0.94099710000000003</v>
      </c>
      <c r="O29" s="30" t="s">
        <v>46</v>
      </c>
    </row>
    <row r="30" spans="2:15" x14ac:dyDescent="0.2">
      <c r="B30" s="27" t="s">
        <v>29</v>
      </c>
      <c r="C30" s="28">
        <v>1.04712E-2</v>
      </c>
      <c r="D30" s="28">
        <v>6.2827225E-2</v>
      </c>
      <c r="E30" s="28">
        <v>0.102094241</v>
      </c>
      <c r="F30" s="28">
        <v>0.1003454</v>
      </c>
      <c r="G30" s="28">
        <v>0.13464632400000001</v>
      </c>
      <c r="H30" s="28">
        <v>0.17277487</v>
      </c>
      <c r="I30" s="27">
        <v>0</v>
      </c>
      <c r="K30" s="27" t="s">
        <v>28</v>
      </c>
      <c r="L30" s="28">
        <v>0.51534000000000002</v>
      </c>
      <c r="M30" s="28">
        <v>1.167557E-2</v>
      </c>
      <c r="N30" s="28">
        <v>0.99117670000000002</v>
      </c>
      <c r="O30" s="30" t="s">
        <v>45</v>
      </c>
    </row>
    <row r="32" spans="2:15" x14ac:dyDescent="0.2">
      <c r="B32" s="21" t="s">
        <v>33</v>
      </c>
      <c r="C32" s="22" t="s">
        <v>10</v>
      </c>
      <c r="D32" s="22" t="s">
        <v>11</v>
      </c>
      <c r="E32" s="22" t="s">
        <v>12</v>
      </c>
      <c r="F32" s="22" t="s">
        <v>13</v>
      </c>
      <c r="G32" s="22" t="s">
        <v>14</v>
      </c>
      <c r="H32" s="22" t="s">
        <v>15</v>
      </c>
      <c r="I32" s="22" t="s">
        <v>16</v>
      </c>
    </row>
    <row r="33" spans="2:9" x14ac:dyDescent="0.2">
      <c r="B33" s="25" t="s">
        <v>17</v>
      </c>
      <c r="C33" s="26">
        <v>0.91183879999999995</v>
      </c>
      <c r="D33" s="26">
        <v>0.93450880000000003</v>
      </c>
      <c r="E33" s="26">
        <v>0.94332490000000002</v>
      </c>
      <c r="F33" s="26">
        <v>0.94394219999999995</v>
      </c>
      <c r="G33" s="26">
        <v>0.95202019999999998</v>
      </c>
      <c r="H33" s="26">
        <v>0.97222220000000004</v>
      </c>
      <c r="I33" s="25">
        <v>0</v>
      </c>
    </row>
    <row r="34" spans="2:9" x14ac:dyDescent="0.2">
      <c r="B34" s="27" t="s">
        <v>18</v>
      </c>
      <c r="C34" s="28">
        <v>0.8261965</v>
      </c>
      <c r="D34" s="28">
        <v>0.85201510000000003</v>
      </c>
      <c r="E34" s="28">
        <v>0.85876399999999997</v>
      </c>
      <c r="F34" s="28">
        <v>0.86005880000000001</v>
      </c>
      <c r="G34" s="28">
        <v>0.86901759999999995</v>
      </c>
      <c r="H34" s="28">
        <v>0.89168769999999997</v>
      </c>
      <c r="I34" s="27">
        <v>0</v>
      </c>
    </row>
    <row r="35" spans="2:9" x14ac:dyDescent="0.2">
      <c r="B35" s="27" t="s">
        <v>19</v>
      </c>
      <c r="C35" s="28">
        <v>0.96717169999999997</v>
      </c>
      <c r="D35" s="28">
        <v>0.97481110000000004</v>
      </c>
      <c r="E35" s="28">
        <v>0.98232319999999995</v>
      </c>
      <c r="F35" s="28">
        <v>0.98016309999999995</v>
      </c>
      <c r="G35" s="28">
        <v>0.98739759999999999</v>
      </c>
      <c r="H35" s="28">
        <v>0.99748110000000001</v>
      </c>
      <c r="I35" s="27">
        <v>0</v>
      </c>
    </row>
    <row r="36" spans="2:9" x14ac:dyDescent="0.2">
      <c r="B36" s="27" t="s">
        <v>20</v>
      </c>
      <c r="C36" s="28">
        <v>0.96977329999999995</v>
      </c>
      <c r="D36" s="28">
        <v>0.98236780000000001</v>
      </c>
      <c r="E36" s="28">
        <v>0.98737370000000002</v>
      </c>
      <c r="F36" s="28">
        <v>0.98680420000000002</v>
      </c>
      <c r="G36" s="28">
        <v>0.98992440000000004</v>
      </c>
      <c r="H36" s="28">
        <v>1</v>
      </c>
      <c r="I36" s="27">
        <v>0</v>
      </c>
    </row>
    <row r="37" spans="2:9" x14ac:dyDescent="0.2">
      <c r="B37" s="27" t="s">
        <v>21</v>
      </c>
      <c r="C37" s="28">
        <v>0.96977329999999995</v>
      </c>
      <c r="D37" s="28">
        <v>0.98361929999999997</v>
      </c>
      <c r="E37" s="28">
        <v>0.99242419999999998</v>
      </c>
      <c r="F37" s="28">
        <v>0.98983500000000002</v>
      </c>
      <c r="G37" s="28">
        <v>0.99747470000000005</v>
      </c>
      <c r="H37" s="28">
        <v>1</v>
      </c>
      <c r="I37" s="27">
        <v>0</v>
      </c>
    </row>
    <row r="38" spans="2:9" x14ac:dyDescent="0.2">
      <c r="B38" s="27" t="s">
        <v>22</v>
      </c>
      <c r="C38" s="28">
        <v>0.9420655</v>
      </c>
      <c r="D38" s="28">
        <v>0.95969769999999999</v>
      </c>
      <c r="E38" s="28">
        <v>0.96473549999999997</v>
      </c>
      <c r="F38" s="28">
        <v>0.96402949999999998</v>
      </c>
      <c r="G38" s="28">
        <v>0.96969700000000003</v>
      </c>
      <c r="H38" s="28">
        <v>0.97984890000000002</v>
      </c>
      <c r="I38" s="27">
        <v>0</v>
      </c>
    </row>
    <row r="39" spans="2:9" x14ac:dyDescent="0.2">
      <c r="B39" s="27" t="s">
        <v>23</v>
      </c>
      <c r="C39" s="28">
        <v>0.81360200000000005</v>
      </c>
      <c r="D39" s="28">
        <v>0.83596190000000004</v>
      </c>
      <c r="E39" s="28">
        <v>0.84760709999999995</v>
      </c>
      <c r="F39" s="28">
        <v>0.84745740000000003</v>
      </c>
      <c r="G39" s="28">
        <v>0.85858590000000001</v>
      </c>
      <c r="H39" s="28">
        <v>0.88161210000000001</v>
      </c>
      <c r="I39" s="27">
        <v>0</v>
      </c>
    </row>
    <row r="40" spans="2:9" x14ac:dyDescent="0.2">
      <c r="B40" s="27" t="s">
        <v>24</v>
      </c>
      <c r="C40" s="28">
        <v>0.83123429999999998</v>
      </c>
      <c r="D40" s="28">
        <v>0.97795969999999999</v>
      </c>
      <c r="E40" s="28">
        <v>0.99117429999999995</v>
      </c>
      <c r="F40" s="28">
        <v>0.98126650000000004</v>
      </c>
      <c r="G40" s="28">
        <v>0.99496220000000002</v>
      </c>
      <c r="H40" s="28">
        <v>1</v>
      </c>
      <c r="I40" s="27">
        <v>0</v>
      </c>
    </row>
    <row r="41" spans="2:9" x14ac:dyDescent="0.2">
      <c r="B41" s="27" t="s">
        <v>25</v>
      </c>
      <c r="C41" s="28">
        <v>0.83123429999999998</v>
      </c>
      <c r="D41" s="28">
        <v>0.98233440000000005</v>
      </c>
      <c r="E41" s="28">
        <v>0.98991169999999995</v>
      </c>
      <c r="F41" s="28">
        <v>0.98227489999999995</v>
      </c>
      <c r="G41" s="28">
        <v>0.99496220000000002</v>
      </c>
      <c r="H41" s="28">
        <v>1</v>
      </c>
      <c r="I41" s="27">
        <v>0</v>
      </c>
    </row>
    <row r="42" spans="2:9" x14ac:dyDescent="0.2">
      <c r="B42" s="27" t="s">
        <v>26</v>
      </c>
      <c r="C42" s="28">
        <v>0.93702770000000002</v>
      </c>
      <c r="D42" s="28">
        <v>0.95277080000000003</v>
      </c>
      <c r="E42" s="28">
        <v>0.959596</v>
      </c>
      <c r="F42" s="28">
        <v>0.95898550000000005</v>
      </c>
      <c r="G42" s="28">
        <v>0.96464649999999996</v>
      </c>
      <c r="H42" s="28">
        <v>0.98236780000000001</v>
      </c>
      <c r="I42" s="27">
        <v>0</v>
      </c>
    </row>
    <row r="43" spans="2:9" x14ac:dyDescent="0.2">
      <c r="B43" s="27" t="s">
        <v>27</v>
      </c>
      <c r="C43" s="28">
        <v>0.9393939</v>
      </c>
      <c r="D43" s="28">
        <v>0.95214109999999996</v>
      </c>
      <c r="E43" s="28">
        <v>0.96090949999999997</v>
      </c>
      <c r="F43" s="28">
        <v>0.96217660000000005</v>
      </c>
      <c r="G43" s="28">
        <v>0.96975420000000001</v>
      </c>
      <c r="H43" s="28">
        <v>0.99244330000000003</v>
      </c>
      <c r="I43" s="27">
        <v>0</v>
      </c>
    </row>
    <row r="44" spans="2:9" x14ac:dyDescent="0.2">
      <c r="B44" s="27" t="s">
        <v>28</v>
      </c>
      <c r="C44" s="28">
        <v>0.91939550000000003</v>
      </c>
      <c r="D44" s="28">
        <v>0.99306989999999995</v>
      </c>
      <c r="E44" s="28">
        <v>1</v>
      </c>
      <c r="F44" s="28">
        <v>0.99117670000000002</v>
      </c>
      <c r="G44" s="28">
        <v>1</v>
      </c>
      <c r="H44" s="28">
        <v>1</v>
      </c>
      <c r="I44" s="27">
        <v>0</v>
      </c>
    </row>
    <row r="45" spans="2:9" x14ac:dyDescent="0.2">
      <c r="B45" s="27" t="s">
        <v>29</v>
      </c>
      <c r="C45" s="28">
        <v>0.90151519999999996</v>
      </c>
      <c r="D45" s="28">
        <v>0.92254409999999998</v>
      </c>
      <c r="E45" s="28">
        <v>0.93568879999999999</v>
      </c>
      <c r="F45" s="28">
        <v>0.94099710000000003</v>
      </c>
      <c r="G45" s="28">
        <v>0.95896459999999994</v>
      </c>
      <c r="H45" s="28">
        <v>0.99496220000000002</v>
      </c>
      <c r="I45" s="27">
        <v>0</v>
      </c>
    </row>
  </sheetData>
  <sortState xmlns:xlrd2="http://schemas.microsoft.com/office/spreadsheetml/2017/richdata2" ref="K18:O30">
    <sortCondition descending="1" ref="L18:L3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6CF4-2E84-0246-A663-88ABF6E3A0D9}">
  <dimension ref="B1:Q41"/>
  <sheetViews>
    <sheetView showGridLines="0" workbookViewId="0">
      <selection activeCell="P18" sqref="P18"/>
    </sheetView>
  </sheetViews>
  <sheetFormatPr baseColWidth="10" defaultRowHeight="16" x14ac:dyDescent="0.2"/>
  <cols>
    <col min="1" max="1" width="2.83203125" customWidth="1"/>
    <col min="2" max="2" width="14.33203125" customWidth="1"/>
    <col min="3" max="4" width="8.1640625" customWidth="1"/>
    <col min="5" max="5" width="14.33203125" customWidth="1"/>
    <col min="6" max="7" width="8.1640625" customWidth="1"/>
    <col min="8" max="8" width="14.33203125" customWidth="1"/>
    <col min="9" max="10" width="8.1640625" customWidth="1"/>
    <col min="11" max="11" width="2.6640625" customWidth="1"/>
    <col min="12" max="12" width="10.6640625" bestFit="1" customWidth="1"/>
    <col min="13" max="13" width="9" bestFit="1" customWidth="1"/>
    <col min="14" max="14" width="7" bestFit="1" customWidth="1"/>
    <col min="15" max="15" width="6.1640625" bestFit="1" customWidth="1"/>
    <col min="16" max="16" width="8" bestFit="1" customWidth="1"/>
    <col min="17" max="17" width="6.1640625" bestFit="1" customWidth="1"/>
  </cols>
  <sheetData>
    <row r="1" spans="2:17" ht="17" thickBot="1" x14ac:dyDescent="0.25"/>
    <row r="2" spans="2:17" ht="17" thickBot="1" x14ac:dyDescent="0.25">
      <c r="B2" s="37" t="s">
        <v>17</v>
      </c>
      <c r="C2" s="31"/>
      <c r="D2" s="32"/>
      <c r="E2" s="37" t="s">
        <v>20</v>
      </c>
      <c r="F2" s="31"/>
      <c r="G2" s="32"/>
      <c r="H2" s="37" t="s">
        <v>26</v>
      </c>
      <c r="I2" s="31"/>
      <c r="J2" s="32"/>
    </row>
    <row r="3" spans="2:17" ht="17" thickBot="1" x14ac:dyDescent="0.25">
      <c r="B3" s="33" t="s">
        <v>71</v>
      </c>
      <c r="C3" s="38" t="s">
        <v>1</v>
      </c>
      <c r="D3" s="39" t="s">
        <v>2</v>
      </c>
      <c r="E3" s="33" t="s">
        <v>71</v>
      </c>
      <c r="F3" s="38" t="s">
        <v>1</v>
      </c>
      <c r="G3" s="39" t="s">
        <v>2</v>
      </c>
      <c r="H3" s="33" t="s">
        <v>71</v>
      </c>
      <c r="I3" s="38" t="s">
        <v>1</v>
      </c>
      <c r="J3" s="39" t="s">
        <v>2</v>
      </c>
      <c r="M3" s="2"/>
      <c r="N3" s="3" t="s">
        <v>1</v>
      </c>
      <c r="O3" s="3"/>
      <c r="P3" s="3" t="s">
        <v>2</v>
      </c>
      <c r="Q3" s="3"/>
    </row>
    <row r="4" spans="2:17" x14ac:dyDescent="0.2">
      <c r="B4" s="34" t="s">
        <v>182</v>
      </c>
      <c r="C4" s="40">
        <v>37.6</v>
      </c>
      <c r="D4" s="41">
        <v>62.4</v>
      </c>
      <c r="E4" s="34" t="s">
        <v>192</v>
      </c>
      <c r="F4" s="40">
        <v>37.5</v>
      </c>
      <c r="G4" s="41">
        <v>62.5</v>
      </c>
      <c r="H4" s="34" t="s">
        <v>202</v>
      </c>
      <c r="I4" s="40">
        <v>37.5</v>
      </c>
      <c r="J4" s="41">
        <v>62.5</v>
      </c>
      <c r="L4" s="5"/>
      <c r="M4" s="17" t="s">
        <v>0</v>
      </c>
      <c r="N4" s="6">
        <v>5618</v>
      </c>
      <c r="O4" s="7">
        <f>N4/(N4+P4)</f>
        <v>0.31060983026483108</v>
      </c>
      <c r="P4" s="6">
        <v>12469</v>
      </c>
      <c r="Q4" s="8">
        <f>P4/(N4+P4)</f>
        <v>0.68939016973516887</v>
      </c>
    </row>
    <row r="5" spans="2:17" x14ac:dyDescent="0.2">
      <c r="B5" s="35" t="s">
        <v>183</v>
      </c>
      <c r="C5" s="42">
        <v>31.3</v>
      </c>
      <c r="D5" s="43">
        <v>68.7</v>
      </c>
      <c r="E5" s="35" t="s">
        <v>193</v>
      </c>
      <c r="F5" s="42">
        <v>33.700000000000003</v>
      </c>
      <c r="G5" s="43">
        <v>66.3</v>
      </c>
      <c r="H5" s="35" t="s">
        <v>203</v>
      </c>
      <c r="I5" s="42">
        <v>33.299999999999997</v>
      </c>
      <c r="J5" s="43">
        <v>66.7</v>
      </c>
      <c r="L5" s="9" t="s">
        <v>7</v>
      </c>
      <c r="M5" s="18" t="s">
        <v>3</v>
      </c>
      <c r="N5" s="10">
        <v>1913</v>
      </c>
      <c r="O5" s="11">
        <f>N5/(N5+P5)</f>
        <v>0.32539547542098995</v>
      </c>
      <c r="P5" s="10">
        <v>3966</v>
      </c>
      <c r="Q5" s="12">
        <f>P5/(N5+P5)</f>
        <v>0.67460452457900999</v>
      </c>
    </row>
    <row r="6" spans="2:17" ht="17" thickBot="1" x14ac:dyDescent="0.25">
      <c r="B6" s="34" t="s">
        <v>184</v>
      </c>
      <c r="C6" s="40">
        <v>30.7</v>
      </c>
      <c r="D6" s="41">
        <v>69.3</v>
      </c>
      <c r="E6" s="34" t="s">
        <v>194</v>
      </c>
      <c r="F6" s="40">
        <v>30.6</v>
      </c>
      <c r="G6" s="41">
        <v>69.400000000000006</v>
      </c>
      <c r="H6" s="34" t="s">
        <v>204</v>
      </c>
      <c r="I6" s="40">
        <v>31.8</v>
      </c>
      <c r="J6" s="41">
        <v>68.2</v>
      </c>
      <c r="L6" s="13"/>
      <c r="M6" s="19" t="s">
        <v>4</v>
      </c>
      <c r="N6" s="14">
        <v>3705</v>
      </c>
      <c r="O6" s="52">
        <f>N6/(N6+P6)</f>
        <v>0.30348951507208388</v>
      </c>
      <c r="P6" s="14">
        <v>8503</v>
      </c>
      <c r="Q6" s="53">
        <f>P6/(N6+P6)</f>
        <v>0.69651048492791612</v>
      </c>
    </row>
    <row r="7" spans="2:17" x14ac:dyDescent="0.2">
      <c r="B7" s="35" t="s">
        <v>185</v>
      </c>
      <c r="C7" s="42">
        <v>29.9</v>
      </c>
      <c r="D7" s="43">
        <v>70.099999999999994</v>
      </c>
      <c r="E7" s="35" t="s">
        <v>195</v>
      </c>
      <c r="F7" s="42">
        <v>30.3</v>
      </c>
      <c r="G7" s="43">
        <v>69.7</v>
      </c>
      <c r="H7" s="35" t="s">
        <v>205</v>
      </c>
      <c r="I7" s="42">
        <v>30.2</v>
      </c>
      <c r="J7" s="43">
        <v>69.8</v>
      </c>
    </row>
    <row r="8" spans="2:17" x14ac:dyDescent="0.2">
      <c r="B8" s="34" t="s">
        <v>186</v>
      </c>
      <c r="C8" s="40">
        <v>32.799999999999997</v>
      </c>
      <c r="D8" s="41">
        <v>67.2</v>
      </c>
      <c r="E8" s="34" t="s">
        <v>196</v>
      </c>
      <c r="F8" s="40">
        <v>29.5</v>
      </c>
      <c r="G8" s="41">
        <v>70.5</v>
      </c>
      <c r="H8" s="34" t="s">
        <v>206</v>
      </c>
      <c r="I8" s="40">
        <v>30.5</v>
      </c>
      <c r="J8" s="41">
        <v>69.5</v>
      </c>
    </row>
    <row r="9" spans="2:17" x14ac:dyDescent="0.2">
      <c r="B9" s="35" t="s">
        <v>187</v>
      </c>
      <c r="C9" s="42">
        <v>29.9</v>
      </c>
      <c r="D9" s="43">
        <v>70.099999999999994</v>
      </c>
      <c r="E9" s="35" t="s">
        <v>197</v>
      </c>
      <c r="F9" s="42">
        <v>29.5</v>
      </c>
      <c r="G9" s="43">
        <v>70.5</v>
      </c>
      <c r="H9" s="35" t="s">
        <v>207</v>
      </c>
      <c r="I9" s="42">
        <v>28.8</v>
      </c>
      <c r="J9" s="43">
        <v>71.2</v>
      </c>
    </row>
    <row r="10" spans="2:17" x14ac:dyDescent="0.2">
      <c r="B10" s="34" t="s">
        <v>188</v>
      </c>
      <c r="C10" s="40">
        <v>28.2</v>
      </c>
      <c r="D10" s="41">
        <v>71.8</v>
      </c>
      <c r="E10" s="34" t="s">
        <v>198</v>
      </c>
      <c r="F10" s="40">
        <v>28.2</v>
      </c>
      <c r="G10" s="41">
        <v>71.8</v>
      </c>
      <c r="H10" s="34" t="s">
        <v>208</v>
      </c>
      <c r="I10" s="40">
        <v>28.4</v>
      </c>
      <c r="J10" s="41">
        <v>71.599999999999994</v>
      </c>
    </row>
    <row r="11" spans="2:17" x14ac:dyDescent="0.2">
      <c r="B11" s="35" t="s">
        <v>189</v>
      </c>
      <c r="C11" s="42">
        <v>29.6</v>
      </c>
      <c r="D11" s="43">
        <v>70.400000000000006</v>
      </c>
      <c r="E11" s="35" t="s">
        <v>199</v>
      </c>
      <c r="F11" s="42">
        <v>28</v>
      </c>
      <c r="G11" s="43">
        <v>72</v>
      </c>
      <c r="H11" s="35" t="s">
        <v>209</v>
      </c>
      <c r="I11" s="42">
        <v>28.4</v>
      </c>
      <c r="J11" s="43">
        <v>71.599999999999994</v>
      </c>
    </row>
    <row r="12" spans="2:17" x14ac:dyDescent="0.2">
      <c r="B12" s="34" t="s">
        <v>190</v>
      </c>
      <c r="C12" s="40">
        <v>25.5</v>
      </c>
      <c r="D12" s="41">
        <v>74.5</v>
      </c>
      <c r="E12" s="34" t="s">
        <v>200</v>
      </c>
      <c r="F12" s="40">
        <v>28.2</v>
      </c>
      <c r="G12" s="41">
        <v>71.8</v>
      </c>
      <c r="H12" s="34" t="s">
        <v>210</v>
      </c>
      <c r="I12" s="40">
        <v>28.9</v>
      </c>
      <c r="J12" s="41">
        <v>71.099999999999994</v>
      </c>
    </row>
    <row r="13" spans="2:17" x14ac:dyDescent="0.2">
      <c r="B13" s="35" t="s">
        <v>191</v>
      </c>
      <c r="C13" s="42">
        <v>28.3</v>
      </c>
      <c r="D13" s="43">
        <v>71.7</v>
      </c>
      <c r="E13" s="35" t="s">
        <v>201</v>
      </c>
      <c r="F13" s="42">
        <v>28</v>
      </c>
      <c r="G13" s="43">
        <v>72</v>
      </c>
      <c r="H13" s="46" t="s">
        <v>211</v>
      </c>
      <c r="I13" s="47">
        <v>25.8</v>
      </c>
      <c r="J13" s="48">
        <v>74.2</v>
      </c>
    </row>
    <row r="14" spans="2:17" ht="17" thickBot="1" x14ac:dyDescent="0.25">
      <c r="B14" s="36" t="s">
        <v>300</v>
      </c>
      <c r="C14" s="44">
        <v>3705</v>
      </c>
      <c r="D14" s="45">
        <v>8503</v>
      </c>
      <c r="E14" s="36"/>
      <c r="F14" s="44">
        <v>3705</v>
      </c>
      <c r="G14" s="45">
        <v>8503</v>
      </c>
      <c r="H14" s="36"/>
      <c r="I14" s="44">
        <v>3705</v>
      </c>
      <c r="J14" s="45">
        <v>8503</v>
      </c>
    </row>
    <row r="15" spans="2:17" ht="17" thickBot="1" x14ac:dyDescent="0.25"/>
    <row r="16" spans="2:17" ht="17" thickBot="1" x14ac:dyDescent="0.25">
      <c r="B16" s="37" t="s">
        <v>22</v>
      </c>
      <c r="C16" s="31"/>
      <c r="D16" s="32"/>
      <c r="E16" s="37" t="s">
        <v>27</v>
      </c>
      <c r="F16" s="31"/>
      <c r="G16" s="32"/>
      <c r="H16" s="37" t="s">
        <v>19</v>
      </c>
      <c r="I16" s="31"/>
      <c r="J16" s="32"/>
    </row>
    <row r="17" spans="2:10" x14ac:dyDescent="0.2">
      <c r="B17" s="33" t="s">
        <v>71</v>
      </c>
      <c r="C17" s="38" t="s">
        <v>1</v>
      </c>
      <c r="D17" s="39" t="s">
        <v>2</v>
      </c>
      <c r="E17" s="33" t="s">
        <v>71</v>
      </c>
      <c r="F17" s="38" t="s">
        <v>1</v>
      </c>
      <c r="G17" s="39" t="s">
        <v>2</v>
      </c>
      <c r="H17" s="33" t="s">
        <v>71</v>
      </c>
      <c r="I17" s="38" t="s">
        <v>1</v>
      </c>
      <c r="J17" s="39" t="s">
        <v>2</v>
      </c>
    </row>
    <row r="18" spans="2:10" x14ac:dyDescent="0.2">
      <c r="B18" s="34" t="s">
        <v>212</v>
      </c>
      <c r="C18" s="40">
        <v>37.299999999999997</v>
      </c>
      <c r="D18" s="41">
        <v>62.7</v>
      </c>
      <c r="E18" s="34" t="s">
        <v>222</v>
      </c>
      <c r="F18" s="40">
        <v>39.4</v>
      </c>
      <c r="G18" s="41">
        <v>60.6</v>
      </c>
      <c r="H18" s="34" t="s">
        <v>231</v>
      </c>
      <c r="I18" s="40">
        <v>36.9</v>
      </c>
      <c r="J18" s="41">
        <v>63.1</v>
      </c>
    </row>
    <row r="19" spans="2:10" x14ac:dyDescent="0.2">
      <c r="B19" s="35" t="s">
        <v>213</v>
      </c>
      <c r="C19" s="42">
        <v>34.4</v>
      </c>
      <c r="D19" s="43">
        <v>65.599999999999994</v>
      </c>
      <c r="E19" s="35" t="s">
        <v>223</v>
      </c>
      <c r="F19" s="42">
        <v>35.9</v>
      </c>
      <c r="G19" s="43">
        <v>64.099999999999994</v>
      </c>
      <c r="H19" s="35" t="s">
        <v>232</v>
      </c>
      <c r="I19" s="42">
        <v>32.799999999999997</v>
      </c>
      <c r="J19" s="43">
        <v>67.2</v>
      </c>
    </row>
    <row r="20" spans="2:10" x14ac:dyDescent="0.2">
      <c r="B20" s="34" t="s">
        <v>214</v>
      </c>
      <c r="C20" s="40">
        <v>30.1</v>
      </c>
      <c r="D20" s="41">
        <v>69.900000000000006</v>
      </c>
      <c r="E20" s="34" t="s">
        <v>224</v>
      </c>
      <c r="F20" s="40">
        <v>29.1</v>
      </c>
      <c r="G20" s="41">
        <v>70.900000000000006</v>
      </c>
      <c r="H20" s="34" t="s">
        <v>233</v>
      </c>
      <c r="I20" s="40">
        <v>32.200000000000003</v>
      </c>
      <c r="J20" s="41">
        <v>67.8</v>
      </c>
    </row>
    <row r="21" spans="2:10" x14ac:dyDescent="0.2">
      <c r="B21" s="35" t="s">
        <v>215</v>
      </c>
      <c r="C21" s="42">
        <v>28.4</v>
      </c>
      <c r="D21" s="43">
        <v>71.599999999999994</v>
      </c>
      <c r="E21" s="35" t="s">
        <v>225</v>
      </c>
      <c r="F21" s="42">
        <v>32.6</v>
      </c>
      <c r="G21" s="43">
        <v>67.400000000000006</v>
      </c>
      <c r="H21" s="35" t="s">
        <v>234</v>
      </c>
      <c r="I21" s="42">
        <v>30.4</v>
      </c>
      <c r="J21" s="43">
        <v>69.599999999999994</v>
      </c>
    </row>
    <row r="22" spans="2:10" x14ac:dyDescent="0.2">
      <c r="B22" s="34" t="s">
        <v>216</v>
      </c>
      <c r="C22" s="40">
        <v>30.7</v>
      </c>
      <c r="D22" s="41">
        <v>69.3</v>
      </c>
      <c r="E22" s="34" t="s">
        <v>226</v>
      </c>
      <c r="F22" s="40">
        <v>29.6</v>
      </c>
      <c r="G22" s="41">
        <v>70.400000000000006</v>
      </c>
      <c r="H22" s="34" t="s">
        <v>235</v>
      </c>
      <c r="I22" s="40">
        <v>29.2</v>
      </c>
      <c r="J22" s="41">
        <v>70.8</v>
      </c>
    </row>
    <row r="23" spans="2:10" x14ac:dyDescent="0.2">
      <c r="B23" s="35" t="s">
        <v>217</v>
      </c>
      <c r="C23" s="42">
        <v>30.1</v>
      </c>
      <c r="D23" s="43">
        <v>69.900000000000006</v>
      </c>
      <c r="E23" s="35" t="s">
        <v>227</v>
      </c>
      <c r="F23" s="42">
        <v>28.3</v>
      </c>
      <c r="G23" s="43">
        <v>71.7</v>
      </c>
      <c r="H23" s="35" t="s">
        <v>236</v>
      </c>
      <c r="I23" s="42">
        <v>31</v>
      </c>
      <c r="J23" s="43">
        <v>69</v>
      </c>
    </row>
    <row r="24" spans="2:10" x14ac:dyDescent="0.2">
      <c r="B24" s="34" t="s">
        <v>218</v>
      </c>
      <c r="C24" s="40">
        <v>27.5</v>
      </c>
      <c r="D24" s="41">
        <v>72.5</v>
      </c>
      <c r="E24" s="34" t="s">
        <v>228</v>
      </c>
      <c r="F24" s="40">
        <v>29</v>
      </c>
      <c r="G24" s="41">
        <v>71</v>
      </c>
      <c r="H24" s="34" t="s">
        <v>237</v>
      </c>
      <c r="I24" s="40">
        <v>27.5</v>
      </c>
      <c r="J24" s="41">
        <v>72.5</v>
      </c>
    </row>
    <row r="25" spans="2:10" x14ac:dyDescent="0.2">
      <c r="B25" s="35" t="s">
        <v>219</v>
      </c>
      <c r="C25" s="42">
        <v>29.6</v>
      </c>
      <c r="D25" s="43">
        <v>70.400000000000006</v>
      </c>
      <c r="E25" s="35" t="s">
        <v>229</v>
      </c>
      <c r="F25" s="42">
        <v>26</v>
      </c>
      <c r="G25" s="43">
        <v>74</v>
      </c>
      <c r="H25" s="35" t="s">
        <v>238</v>
      </c>
      <c r="I25" s="42">
        <v>27.7</v>
      </c>
      <c r="J25" s="43">
        <v>72.3</v>
      </c>
    </row>
    <row r="26" spans="2:10" x14ac:dyDescent="0.2">
      <c r="B26" s="34" t="s">
        <v>220</v>
      </c>
      <c r="C26" s="40">
        <v>28.3</v>
      </c>
      <c r="D26" s="41">
        <v>71.7</v>
      </c>
      <c r="E26" s="34" t="s">
        <v>229</v>
      </c>
      <c r="F26" s="40">
        <v>26.2</v>
      </c>
      <c r="G26" s="41">
        <v>73.8</v>
      </c>
      <c r="H26" s="34" t="s">
        <v>239</v>
      </c>
      <c r="I26" s="40">
        <v>27.5</v>
      </c>
      <c r="J26" s="41">
        <v>72.5</v>
      </c>
    </row>
    <row r="27" spans="2:10" x14ac:dyDescent="0.2">
      <c r="B27" s="35" t="s">
        <v>221</v>
      </c>
      <c r="C27" s="42">
        <v>27.1</v>
      </c>
      <c r="D27" s="43">
        <v>72.900000000000006</v>
      </c>
      <c r="E27" s="35" t="s">
        <v>230</v>
      </c>
      <c r="F27" s="42">
        <v>26.3</v>
      </c>
      <c r="G27" s="43">
        <v>73.7</v>
      </c>
      <c r="H27" s="35" t="s">
        <v>240</v>
      </c>
      <c r="I27" s="42">
        <v>28.3</v>
      </c>
      <c r="J27" s="43">
        <v>71.7</v>
      </c>
    </row>
    <row r="28" spans="2:10" ht="17" thickBot="1" x14ac:dyDescent="0.25">
      <c r="B28" s="36" t="s">
        <v>300</v>
      </c>
      <c r="C28" s="44">
        <v>3705</v>
      </c>
      <c r="D28" s="45">
        <v>8503</v>
      </c>
      <c r="E28" s="36"/>
      <c r="F28" s="44">
        <v>3705</v>
      </c>
      <c r="G28" s="45">
        <v>8503</v>
      </c>
      <c r="H28" s="36"/>
      <c r="I28" s="44">
        <v>3705</v>
      </c>
      <c r="J28" s="45">
        <v>8503</v>
      </c>
    </row>
    <row r="29" spans="2:10" x14ac:dyDescent="0.2">
      <c r="B29" s="20" t="s">
        <v>59</v>
      </c>
    </row>
    <row r="30" spans="2:10" x14ac:dyDescent="0.2">
      <c r="B30" s="20" t="s">
        <v>59</v>
      </c>
    </row>
    <row r="31" spans="2:10" x14ac:dyDescent="0.2">
      <c r="B31" s="20" t="s">
        <v>59</v>
      </c>
    </row>
    <row r="32" spans="2:10" x14ac:dyDescent="0.2">
      <c r="B32" s="20" t="s">
        <v>59</v>
      </c>
    </row>
    <row r="33" spans="2:3" x14ac:dyDescent="0.2">
      <c r="B33" s="20" t="s">
        <v>59</v>
      </c>
      <c r="C33" t="s">
        <v>60</v>
      </c>
    </row>
    <row r="34" spans="2:3" x14ac:dyDescent="0.2">
      <c r="B34" s="20" t="s">
        <v>59</v>
      </c>
      <c r="C34" t="s">
        <v>60</v>
      </c>
    </row>
    <row r="35" spans="2:3" x14ac:dyDescent="0.2">
      <c r="B35" s="20" t="s">
        <v>59</v>
      </c>
      <c r="C35" t="s">
        <v>60</v>
      </c>
    </row>
    <row r="36" spans="2:3" x14ac:dyDescent="0.2">
      <c r="B36" s="20" t="s">
        <v>59</v>
      </c>
      <c r="C36" t="s">
        <v>60</v>
      </c>
    </row>
    <row r="37" spans="2:3" x14ac:dyDescent="0.2">
      <c r="B37" s="20" t="s">
        <v>59</v>
      </c>
      <c r="C37" t="s">
        <v>60</v>
      </c>
    </row>
    <row r="38" spans="2:3" x14ac:dyDescent="0.2">
      <c r="B38" s="20" t="s">
        <v>59</v>
      </c>
      <c r="C38" t="s">
        <v>60</v>
      </c>
    </row>
    <row r="39" spans="2:3" x14ac:dyDescent="0.2">
      <c r="B39" s="20" t="s">
        <v>59</v>
      </c>
      <c r="C39" t="s">
        <v>60</v>
      </c>
    </row>
    <row r="40" spans="2:3" x14ac:dyDescent="0.2">
      <c r="B40" s="20" t="s">
        <v>59</v>
      </c>
      <c r="C40" t="s">
        <v>60</v>
      </c>
    </row>
    <row r="41" spans="2:3" x14ac:dyDescent="0.2">
      <c r="B41" s="20" t="s">
        <v>59</v>
      </c>
      <c r="C41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6895-13D9-5748-9761-516269FE503D}">
  <dimension ref="B1:Q27"/>
  <sheetViews>
    <sheetView showGridLines="0" tabSelected="1" workbookViewId="0"/>
  </sheetViews>
  <sheetFormatPr baseColWidth="10" defaultRowHeight="16" x14ac:dyDescent="0.2"/>
  <cols>
    <col min="1" max="1" width="2.83203125" customWidth="1"/>
    <col min="2" max="2" width="14.33203125" customWidth="1"/>
    <col min="3" max="4" width="8.1640625" customWidth="1"/>
    <col min="5" max="5" width="14.33203125" customWidth="1"/>
    <col min="6" max="7" width="8.1640625" customWidth="1"/>
    <col min="8" max="8" width="14.33203125" customWidth="1"/>
    <col min="9" max="10" width="8.1640625" customWidth="1"/>
    <col min="11" max="11" width="2.83203125" customWidth="1"/>
    <col min="12" max="12" width="10.6640625" bestFit="1" customWidth="1"/>
    <col min="13" max="13" width="9" bestFit="1" customWidth="1"/>
    <col min="14" max="14" width="7" bestFit="1" customWidth="1"/>
    <col min="15" max="15" width="6.1640625" bestFit="1" customWidth="1"/>
    <col min="16" max="16" width="8" bestFit="1" customWidth="1"/>
    <col min="17" max="17" width="6.1640625" bestFit="1" customWidth="1"/>
  </cols>
  <sheetData>
    <row r="1" spans="2:17" ht="17" thickBot="1" x14ac:dyDescent="0.25"/>
    <row r="2" spans="2:17" ht="17" thickBot="1" x14ac:dyDescent="0.25">
      <c r="B2" s="37" t="s">
        <v>26</v>
      </c>
      <c r="C2" s="31"/>
      <c r="D2" s="32"/>
      <c r="E2" s="37" t="s">
        <v>303</v>
      </c>
      <c r="F2" s="31"/>
      <c r="G2" s="32"/>
      <c r="H2" s="37" t="s">
        <v>302</v>
      </c>
      <c r="I2" s="31"/>
      <c r="J2" s="32"/>
    </row>
    <row r="3" spans="2:17" ht="17" thickBot="1" x14ac:dyDescent="0.25">
      <c r="B3" s="33" t="s">
        <v>71</v>
      </c>
      <c r="C3" s="38" t="s">
        <v>1</v>
      </c>
      <c r="D3" s="39" t="s">
        <v>2</v>
      </c>
      <c r="E3" s="33" t="s">
        <v>71</v>
      </c>
      <c r="F3" s="38" t="s">
        <v>1</v>
      </c>
      <c r="G3" s="39" t="s">
        <v>2</v>
      </c>
      <c r="H3" s="33" t="s">
        <v>71</v>
      </c>
      <c r="I3" s="38" t="s">
        <v>1</v>
      </c>
      <c r="J3" s="39" t="s">
        <v>2</v>
      </c>
      <c r="M3" s="2"/>
      <c r="N3" s="3" t="s">
        <v>1</v>
      </c>
      <c r="O3" s="3"/>
      <c r="P3" s="3" t="s">
        <v>2</v>
      </c>
      <c r="Q3" s="3"/>
    </row>
    <row r="4" spans="2:17" x14ac:dyDescent="0.2">
      <c r="B4" s="34" t="s">
        <v>202</v>
      </c>
      <c r="C4" s="40">
        <v>37.5</v>
      </c>
      <c r="D4" s="41">
        <v>62.5</v>
      </c>
      <c r="E4" s="34" t="s">
        <v>280</v>
      </c>
      <c r="F4" s="40">
        <v>37.9</v>
      </c>
      <c r="G4" s="41">
        <v>62.1</v>
      </c>
      <c r="H4" s="34" t="s">
        <v>290</v>
      </c>
      <c r="I4" s="40">
        <v>35.9</v>
      </c>
      <c r="J4" s="41">
        <v>64.099999999999994</v>
      </c>
      <c r="L4" s="5"/>
      <c r="M4" s="17" t="s">
        <v>0</v>
      </c>
      <c r="N4" s="6">
        <v>5618</v>
      </c>
      <c r="O4" s="7">
        <f>N4/(N4+P4)</f>
        <v>0.31060983026483108</v>
      </c>
      <c r="P4" s="6">
        <v>12469</v>
      </c>
      <c r="Q4" s="8">
        <f>P4/(N4+P4)</f>
        <v>0.68939016973516887</v>
      </c>
    </row>
    <row r="5" spans="2:17" x14ac:dyDescent="0.2">
      <c r="B5" s="35" t="s">
        <v>203</v>
      </c>
      <c r="C5" s="42">
        <v>33.299999999999997</v>
      </c>
      <c r="D5" s="43">
        <v>66.7</v>
      </c>
      <c r="E5" s="35" t="s">
        <v>281</v>
      </c>
      <c r="F5" s="42">
        <v>34.6</v>
      </c>
      <c r="G5" s="43">
        <v>65.400000000000006</v>
      </c>
      <c r="H5" s="35" t="s">
        <v>291</v>
      </c>
      <c r="I5" s="42">
        <v>30.9</v>
      </c>
      <c r="J5" s="43">
        <v>69.099999999999994</v>
      </c>
      <c r="L5" s="9" t="s">
        <v>7</v>
      </c>
      <c r="M5" s="18" t="s">
        <v>3</v>
      </c>
      <c r="N5" s="10">
        <v>1913</v>
      </c>
      <c r="O5" s="11">
        <f>N5/(N5+P5)</f>
        <v>0.32539547542098995</v>
      </c>
      <c r="P5" s="10">
        <v>3966</v>
      </c>
      <c r="Q5" s="12">
        <f>P5/(N5+P5)</f>
        <v>0.67460452457900999</v>
      </c>
    </row>
    <row r="6" spans="2:17" ht="17" thickBot="1" x14ac:dyDescent="0.25">
      <c r="B6" s="34" t="s">
        <v>204</v>
      </c>
      <c r="C6" s="40">
        <v>31.8</v>
      </c>
      <c r="D6" s="41">
        <v>68.2</v>
      </c>
      <c r="E6" s="34" t="s">
        <v>282</v>
      </c>
      <c r="F6" s="40">
        <v>29.9</v>
      </c>
      <c r="G6" s="41">
        <v>70.099999999999994</v>
      </c>
      <c r="H6" s="34" t="s">
        <v>292</v>
      </c>
      <c r="I6" s="40">
        <v>33.1</v>
      </c>
      <c r="J6" s="41">
        <v>66.900000000000006</v>
      </c>
      <c r="L6" s="13"/>
      <c r="M6" s="19" t="s">
        <v>4</v>
      </c>
      <c r="N6" s="14">
        <v>3705</v>
      </c>
      <c r="O6" s="52">
        <f>N6/(N6+P6)</f>
        <v>0.30348951507208388</v>
      </c>
      <c r="P6" s="14">
        <v>8503</v>
      </c>
      <c r="Q6" s="53">
        <f>P6/(N6+P6)</f>
        <v>0.69651048492791612</v>
      </c>
    </row>
    <row r="7" spans="2:17" x14ac:dyDescent="0.2">
      <c r="B7" s="35" t="s">
        <v>205</v>
      </c>
      <c r="C7" s="42">
        <v>30.2</v>
      </c>
      <c r="D7" s="43">
        <v>69.8</v>
      </c>
      <c r="E7" s="35" t="s">
        <v>283</v>
      </c>
      <c r="F7" s="42">
        <v>29.3</v>
      </c>
      <c r="G7" s="43">
        <v>70.7</v>
      </c>
      <c r="H7" s="35" t="s">
        <v>293</v>
      </c>
      <c r="I7" s="42">
        <v>30.3</v>
      </c>
      <c r="J7" s="43">
        <v>69.7</v>
      </c>
    </row>
    <row r="8" spans="2:17" x14ac:dyDescent="0.2">
      <c r="B8" s="34" t="s">
        <v>206</v>
      </c>
      <c r="C8" s="40">
        <v>30.5</v>
      </c>
      <c r="D8" s="41">
        <v>69.5</v>
      </c>
      <c r="E8" s="34" t="s">
        <v>284</v>
      </c>
      <c r="F8" s="40">
        <v>30.3</v>
      </c>
      <c r="G8" s="41">
        <v>69.7</v>
      </c>
      <c r="H8" s="34" t="s">
        <v>294</v>
      </c>
      <c r="I8" s="40">
        <v>31.3</v>
      </c>
      <c r="J8" s="41">
        <v>68.7</v>
      </c>
    </row>
    <row r="9" spans="2:17" x14ac:dyDescent="0.2">
      <c r="B9" s="35" t="s">
        <v>207</v>
      </c>
      <c r="C9" s="42">
        <v>28.8</v>
      </c>
      <c r="D9" s="43">
        <v>71.2</v>
      </c>
      <c r="E9" s="35" t="s">
        <v>285</v>
      </c>
      <c r="F9" s="42">
        <v>31.8</v>
      </c>
      <c r="G9" s="43">
        <v>68.2</v>
      </c>
      <c r="H9" s="35" t="s">
        <v>295</v>
      </c>
      <c r="I9" s="42">
        <v>29.3</v>
      </c>
      <c r="J9" s="43">
        <v>70.7</v>
      </c>
    </row>
    <row r="10" spans="2:17" x14ac:dyDescent="0.2">
      <c r="B10" s="34" t="s">
        <v>208</v>
      </c>
      <c r="C10" s="40">
        <v>28.4</v>
      </c>
      <c r="D10" s="41">
        <v>71.599999999999994</v>
      </c>
      <c r="E10" s="34" t="s">
        <v>286</v>
      </c>
      <c r="F10" s="40">
        <v>27.5</v>
      </c>
      <c r="G10" s="41">
        <v>72.5</v>
      </c>
      <c r="H10" s="34" t="s">
        <v>296</v>
      </c>
      <c r="I10" s="40">
        <v>30</v>
      </c>
      <c r="J10" s="41">
        <v>70</v>
      </c>
    </row>
    <row r="11" spans="2:17" x14ac:dyDescent="0.2">
      <c r="B11" s="35" t="s">
        <v>209</v>
      </c>
      <c r="C11" s="42">
        <v>28.4</v>
      </c>
      <c r="D11" s="43">
        <v>71.599999999999994</v>
      </c>
      <c r="E11" s="35" t="s">
        <v>287</v>
      </c>
      <c r="F11" s="42">
        <v>27.8</v>
      </c>
      <c r="G11" s="43">
        <v>72.2</v>
      </c>
      <c r="H11" s="35" t="s">
        <v>297</v>
      </c>
      <c r="I11" s="42">
        <v>28.7</v>
      </c>
      <c r="J11" s="43">
        <v>71.3</v>
      </c>
    </row>
    <row r="12" spans="2:17" x14ac:dyDescent="0.2">
      <c r="B12" s="34" t="s">
        <v>210</v>
      </c>
      <c r="C12" s="40">
        <v>28.9</v>
      </c>
      <c r="D12" s="41">
        <v>71.099999999999994</v>
      </c>
      <c r="E12" s="34" t="s">
        <v>288</v>
      </c>
      <c r="F12" s="40">
        <v>27.9</v>
      </c>
      <c r="G12" s="41">
        <v>72.099999999999994</v>
      </c>
      <c r="H12" s="34" t="s">
        <v>298</v>
      </c>
      <c r="I12" s="40">
        <v>26.6</v>
      </c>
      <c r="J12" s="41">
        <v>73.400000000000006</v>
      </c>
    </row>
    <row r="13" spans="2:17" x14ac:dyDescent="0.2">
      <c r="B13" s="46" t="s">
        <v>211</v>
      </c>
      <c r="C13" s="47">
        <v>25.8</v>
      </c>
      <c r="D13" s="48">
        <v>74.2</v>
      </c>
      <c r="E13" s="49" t="s">
        <v>289</v>
      </c>
      <c r="F13" s="50">
        <v>26.4</v>
      </c>
      <c r="G13" s="51">
        <v>73.599999999999994</v>
      </c>
      <c r="H13" s="35" t="s">
        <v>299</v>
      </c>
      <c r="I13" s="42">
        <v>27.4</v>
      </c>
      <c r="J13" s="43">
        <v>72.599999999999994</v>
      </c>
    </row>
    <row r="14" spans="2:17" ht="17" thickBot="1" x14ac:dyDescent="0.25">
      <c r="B14" s="36" t="s">
        <v>300</v>
      </c>
      <c r="C14" s="44">
        <v>3705</v>
      </c>
      <c r="D14" s="45">
        <v>8503</v>
      </c>
      <c r="E14" s="36"/>
      <c r="F14" s="44">
        <v>3705</v>
      </c>
      <c r="G14" s="45">
        <v>8503</v>
      </c>
      <c r="H14" s="36"/>
      <c r="I14" s="44">
        <v>3705</v>
      </c>
      <c r="J14" s="45">
        <v>8503</v>
      </c>
    </row>
    <row r="16" spans="2:17" x14ac:dyDescent="0.2">
      <c r="B16" s="20" t="s">
        <v>59</v>
      </c>
    </row>
    <row r="17" spans="2:3" x14ac:dyDescent="0.2">
      <c r="B17" s="20" t="s">
        <v>59</v>
      </c>
    </row>
    <row r="18" spans="2:3" x14ac:dyDescent="0.2">
      <c r="B18" s="20" t="s">
        <v>59</v>
      </c>
    </row>
    <row r="19" spans="2:3" x14ac:dyDescent="0.2">
      <c r="B19" s="20" t="s">
        <v>59</v>
      </c>
      <c r="C19" t="s">
        <v>60</v>
      </c>
    </row>
    <row r="20" spans="2:3" x14ac:dyDescent="0.2">
      <c r="B20" s="20" t="s">
        <v>59</v>
      </c>
      <c r="C20" t="s">
        <v>60</v>
      </c>
    </row>
    <row r="21" spans="2:3" x14ac:dyDescent="0.2">
      <c r="B21" s="20" t="s">
        <v>59</v>
      </c>
      <c r="C21" t="s">
        <v>60</v>
      </c>
    </row>
    <row r="22" spans="2:3" x14ac:dyDescent="0.2">
      <c r="B22" s="20" t="s">
        <v>59</v>
      </c>
      <c r="C22" t="s">
        <v>60</v>
      </c>
    </row>
    <row r="23" spans="2:3" x14ac:dyDescent="0.2">
      <c r="B23" s="20" t="s">
        <v>59</v>
      </c>
      <c r="C23" t="s">
        <v>60</v>
      </c>
    </row>
    <row r="24" spans="2:3" x14ac:dyDescent="0.2">
      <c r="B24" s="20" t="s">
        <v>59</v>
      </c>
      <c r="C24" t="s">
        <v>60</v>
      </c>
    </row>
    <row r="25" spans="2:3" x14ac:dyDescent="0.2">
      <c r="B25" s="20" t="s">
        <v>59</v>
      </c>
      <c r="C25" t="s">
        <v>60</v>
      </c>
    </row>
    <row r="26" spans="2:3" x14ac:dyDescent="0.2">
      <c r="B26" s="20" t="s">
        <v>59</v>
      </c>
      <c r="C26" t="s">
        <v>60</v>
      </c>
    </row>
    <row r="27" spans="2:3" x14ac:dyDescent="0.2">
      <c r="B27" s="20" t="s">
        <v>59</v>
      </c>
      <c r="C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Prop</vt:lpstr>
      <vt:lpstr>summary_t1</vt:lpstr>
      <vt:lpstr>t1_corte</vt:lpstr>
      <vt:lpstr>t1_hyper</vt:lpstr>
      <vt:lpstr>summary_t2</vt:lpstr>
      <vt:lpstr>t2_corte</vt:lpstr>
      <vt:lpstr>t2_hyper</vt:lpstr>
      <vt:lpstr>summary_t3</vt:lpstr>
      <vt:lpstr>t3_corte</vt:lpstr>
      <vt:lpstr>t3_hyper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2021-09-24T23:48:40Z</dcterms:created>
  <dcterms:modified xsi:type="dcterms:W3CDTF">2021-10-03T14:30:38Z</dcterms:modified>
</cp:coreProperties>
</file>