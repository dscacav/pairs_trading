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sianoa.cavalcanti/Insync/GoogleCass/Analytics/TCC/Code/project_estat4/"/>
    </mc:Choice>
  </mc:AlternateContent>
  <xr:revisionPtr revIDLastSave="0" documentId="13_ncr:1_{57003F66-AAA1-6849-8DB5-3AFD4D29547B}" xr6:coauthVersionLast="47" xr6:coauthVersionMax="47" xr10:uidLastSave="{00000000-0000-0000-0000-000000000000}"/>
  <bookViews>
    <workbookView xWindow="41420" yWindow="500" windowWidth="38000" windowHeight="20020" activeTab="1" xr2:uid="{ECE3B439-5EBF-B84D-93A1-3C9FADD5DA70}"/>
  </bookViews>
  <sheets>
    <sheet name="Tabelas 1" sheetId="1" r:id="rId1"/>
    <sheet name="Tabel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2" l="1"/>
  <c r="E28" i="2"/>
  <c r="D28" i="2"/>
  <c r="C28" i="2"/>
  <c r="E26" i="2"/>
  <c r="D26" i="2"/>
  <c r="C26" i="2"/>
  <c r="F25" i="2"/>
  <c r="F24" i="2"/>
  <c r="F23" i="2"/>
  <c r="F22" i="2"/>
  <c r="F21" i="2"/>
  <c r="F20" i="2"/>
  <c r="F19" i="2"/>
  <c r="F18" i="2"/>
  <c r="F17" i="2"/>
  <c r="F6" i="2"/>
  <c r="F7" i="2"/>
  <c r="F8" i="2"/>
  <c r="F9" i="2"/>
  <c r="F10" i="2"/>
  <c r="F11" i="2"/>
  <c r="F12" i="2"/>
  <c r="F13" i="2"/>
  <c r="F5" i="2"/>
  <c r="E14" i="2"/>
  <c r="D14" i="2"/>
  <c r="C14" i="2"/>
  <c r="F14" i="2" s="1"/>
  <c r="F26" i="2" l="1"/>
</calcChain>
</file>

<file path=xl/sharedStrings.xml><?xml version="1.0" encoding="utf-8"?>
<sst xmlns="http://schemas.openxmlformats.org/spreadsheetml/2006/main" count="121" uniqueCount="34">
  <si>
    <t>ITUB3</t>
  </si>
  <si>
    <t>ITUB4</t>
  </si>
  <si>
    <t>Data</t>
  </si>
  <si>
    <t>Correlação</t>
  </si>
  <si>
    <t>Beta</t>
  </si>
  <si>
    <t>Intercepto</t>
  </si>
  <si>
    <t>ADF p-valor</t>
  </si>
  <si>
    <t>z-score</t>
  </si>
  <si>
    <t>Retorno</t>
  </si>
  <si>
    <t>Dias</t>
  </si>
  <si>
    <t>EZTC3</t>
  </si>
  <si>
    <t>BBAS3</t>
  </si>
  <si>
    <t>EVEN3</t>
  </si>
  <si>
    <t>OMGE3</t>
  </si>
  <si>
    <t>class_days</t>
  </si>
  <si>
    <t>01_05</t>
  </si>
  <si>
    <t>06_10</t>
  </si>
  <si>
    <t>11_15</t>
  </si>
  <si>
    <t>16_20</t>
  </si>
  <si>
    <t>21_25</t>
  </si>
  <si>
    <t>26_30</t>
  </si>
  <si>
    <t>31_35</t>
  </si>
  <si>
    <t>36_40</t>
  </si>
  <si>
    <t>41_acima</t>
  </si>
  <si>
    <t>Total</t>
  </si>
  <si>
    <t>Retorno t1</t>
  </si>
  <si>
    <t>Retorno t2</t>
  </si>
  <si>
    <t>Retorno t3</t>
  </si>
  <si>
    <t>Retorno Stop t1</t>
  </si>
  <si>
    <t>Retorno Stop t2</t>
  </si>
  <si>
    <t>Retorno Stop t3</t>
  </si>
  <si>
    <t>Total Retorno</t>
  </si>
  <si>
    <t>Total Retorno Stop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</si>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</sst>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Open Sans Regular"/>
    </font>
    <font>
      <sz val="11"/>
      <color theme="1" tint="0.249977111117893"/>
      <name val="Open Sans Regular"/>
    </font>
    <font>
      <sz val="11"/>
      <color rgb="FF000000"/>
      <name val="Lucida Grande"/>
      <family val="2"/>
    </font>
    <font>
      <b/>
      <sz val="11"/>
      <color rgb="FF000000"/>
      <name val="Lucida Grande"/>
      <family val="2"/>
    </font>
    <font>
      <sz val="11"/>
      <color rgb="FFFF0000"/>
      <name val="Open Sans Regular"/>
    </font>
    <font>
      <sz val="11"/>
      <color theme="1" tint="0.499984740745262"/>
      <name val="Open Sans Regular"/>
    </font>
  </fonts>
  <fills count="4">
    <fill>
      <patternFill patternType="none"/>
    </fill>
    <fill>
      <patternFill patternType="gray125"/>
    </fill>
    <fill>
      <patternFill patternType="solid">
        <fgColor rgb="FF13C5BD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13C5BD"/>
      </left>
      <right/>
      <top style="thin">
        <color rgb="FF13C5BD"/>
      </top>
      <bottom style="thin">
        <color rgb="FF13C5BD"/>
      </bottom>
      <diagonal/>
    </border>
    <border>
      <left/>
      <right/>
      <top style="thin">
        <color rgb="FF13C5BD"/>
      </top>
      <bottom style="thin">
        <color rgb="FF13C5BD"/>
      </bottom>
      <diagonal/>
    </border>
    <border>
      <left/>
      <right style="thin">
        <color rgb="FF13C5BD"/>
      </right>
      <top style="thin">
        <color rgb="FF13C5BD"/>
      </top>
      <bottom style="thin">
        <color rgb="FF13C5BD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/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14" fontId="3" fillId="0" borderId="1" xfId="0" applyNumberFormat="1" applyFont="1" applyBorder="1"/>
    <xf numFmtId="43" fontId="3" fillId="0" borderId="2" xfId="1" applyFont="1" applyBorder="1"/>
    <xf numFmtId="164" fontId="3" fillId="0" borderId="2" xfId="2" applyNumberFormat="1" applyFont="1" applyBorder="1"/>
    <xf numFmtId="0" fontId="3" fillId="0" borderId="3" xfId="0" applyFont="1" applyBorder="1"/>
    <xf numFmtId="14" fontId="4" fillId="0" borderId="0" xfId="0" applyNumberFormat="1" applyFont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horizontal="left"/>
    </xf>
    <xf numFmtId="43" fontId="2" fillId="2" borderId="0" xfId="1" applyNumberFormat="1" applyFont="1" applyFill="1" applyAlignment="1">
      <alignment horizontal="right"/>
    </xf>
    <xf numFmtId="43" fontId="6" fillId="0" borderId="2" xfId="1" applyNumberFormat="1" applyFont="1" applyBorder="1"/>
    <xf numFmtId="43" fontId="2" fillId="3" borderId="0" xfId="1" applyNumberFormat="1" applyFont="1" applyFill="1" applyAlignment="1">
      <alignment horizontal="right"/>
    </xf>
    <xf numFmtId="43" fontId="7" fillId="0" borderId="2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0002"/>
      <color rgb="FF13C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5B84-3F67-5045-9C3E-AF58B2C00110}">
  <dimension ref="B2:V27"/>
  <sheetViews>
    <sheetView workbookViewId="0">
      <selection activeCell="D17" sqref="D17"/>
    </sheetView>
  </sheetViews>
  <sheetFormatPr baseColWidth="10" defaultRowHeight="16"/>
  <cols>
    <col min="1" max="1" width="2.6640625" customWidth="1"/>
    <col min="2" max="2" width="8.5" bestFit="1" customWidth="1"/>
    <col min="3" max="4" width="8.33203125" style="1" bestFit="1" customWidth="1"/>
    <col min="5" max="5" width="13.33203125" style="1" bestFit="1" customWidth="1"/>
    <col min="6" max="6" width="7" style="1" bestFit="1" customWidth="1"/>
    <col min="7" max="7" width="12.83203125" style="1" bestFit="1" customWidth="1"/>
    <col min="8" max="8" width="14" style="1" bestFit="1" customWidth="1"/>
    <col min="9" max="9" width="8" bestFit="1" customWidth="1"/>
    <col min="10" max="10" width="10.33203125" bestFit="1" customWidth="1"/>
    <col min="11" max="11" width="6.83203125" bestFit="1" customWidth="1"/>
  </cols>
  <sheetData>
    <row r="2" spans="2:22" ht="19">
      <c r="B2" s="2" t="s">
        <v>2</v>
      </c>
      <c r="C2" s="3" t="s">
        <v>0</v>
      </c>
      <c r="D2" s="3" t="s">
        <v>1</v>
      </c>
      <c r="E2" s="3" t="s">
        <v>3</v>
      </c>
      <c r="F2" s="3" t="s">
        <v>4</v>
      </c>
      <c r="G2" s="3" t="s">
        <v>5</v>
      </c>
      <c r="H2" s="3" t="s">
        <v>6</v>
      </c>
      <c r="I2" s="2" t="s">
        <v>7</v>
      </c>
      <c r="J2" s="3" t="s">
        <v>8</v>
      </c>
      <c r="K2" s="3" t="s">
        <v>9</v>
      </c>
      <c r="M2" s="2" t="s">
        <v>2</v>
      </c>
      <c r="N2" s="3" t="s">
        <v>10</v>
      </c>
      <c r="O2" s="3" t="s">
        <v>11</v>
      </c>
      <c r="P2" s="3" t="s">
        <v>3</v>
      </c>
      <c r="Q2" s="3" t="s">
        <v>4</v>
      </c>
      <c r="R2" s="3" t="s">
        <v>5</v>
      </c>
      <c r="S2" s="3" t="s">
        <v>6</v>
      </c>
      <c r="T2" s="2" t="s">
        <v>7</v>
      </c>
      <c r="U2" s="3" t="s">
        <v>8</v>
      </c>
      <c r="V2" s="3" t="s">
        <v>9</v>
      </c>
    </row>
    <row r="3" spans="2:22" ht="17">
      <c r="B3" s="4">
        <v>43707</v>
      </c>
      <c r="C3" s="5">
        <v>28.453579999999999</v>
      </c>
      <c r="D3" s="5">
        <v>32.450989999999997</v>
      </c>
      <c r="E3" s="5">
        <v>0.98931009999999997</v>
      </c>
      <c r="F3" s="5">
        <v>0.80395890000000003</v>
      </c>
      <c r="G3" s="5">
        <v>1.650679</v>
      </c>
      <c r="H3" s="5">
        <v>0.01</v>
      </c>
      <c r="I3" s="5">
        <v>2.284951</v>
      </c>
      <c r="J3" s="6">
        <v>1.85465E-2</v>
      </c>
      <c r="K3" s="7">
        <v>19</v>
      </c>
      <c r="M3" s="4">
        <v>43629</v>
      </c>
      <c r="N3" s="5">
        <v>23.4117</v>
      </c>
      <c r="O3" s="5">
        <v>46.400550000000003</v>
      </c>
      <c r="P3" s="5">
        <v>0.98157720000000004</v>
      </c>
      <c r="Q3" s="5">
        <v>0.40020220000000001</v>
      </c>
      <c r="R3" s="5">
        <v>3.1484549999999998</v>
      </c>
      <c r="S3" s="5">
        <v>0.01</v>
      </c>
      <c r="T3" s="5">
        <v>2.5389080000000002</v>
      </c>
      <c r="U3" s="6">
        <v>-0.62356900000000004</v>
      </c>
      <c r="V3" s="7">
        <v>186</v>
      </c>
    </row>
    <row r="4" spans="2:22" ht="17">
      <c r="B4" s="4">
        <v>43815</v>
      </c>
      <c r="C4" s="5">
        <v>29.632999999999999</v>
      </c>
      <c r="D4" s="5">
        <v>34.017580000000002</v>
      </c>
      <c r="E4" s="5">
        <v>0.96683079999999999</v>
      </c>
      <c r="F4" s="5">
        <v>0.75788230000000001</v>
      </c>
      <c r="G4" s="5">
        <v>3.289361</v>
      </c>
      <c r="H4" s="5">
        <v>0.01</v>
      </c>
      <c r="I4" s="5">
        <v>2.0192049999999999</v>
      </c>
      <c r="J4" s="6">
        <v>5.062208E-2</v>
      </c>
      <c r="K4" s="7">
        <v>60</v>
      </c>
    </row>
    <row r="5" spans="2:22" ht="19">
      <c r="B5" s="4">
        <v>43914</v>
      </c>
      <c r="C5" s="5">
        <v>19.943909999999999</v>
      </c>
      <c r="D5" s="5">
        <v>21.91272</v>
      </c>
      <c r="E5" s="5">
        <v>0.97081770000000001</v>
      </c>
      <c r="F5" s="5">
        <v>0.67851669999999997</v>
      </c>
      <c r="G5" s="5">
        <v>6.105194</v>
      </c>
      <c r="H5" s="5">
        <v>0.01</v>
      </c>
      <c r="I5" s="5">
        <v>-2.4536359999999999</v>
      </c>
      <c r="J5" s="6">
        <v>6.616263E-2</v>
      </c>
      <c r="K5" s="7">
        <v>2</v>
      </c>
      <c r="M5" s="2" t="s">
        <v>2</v>
      </c>
      <c r="N5" s="3" t="s">
        <v>10</v>
      </c>
      <c r="O5" s="3" t="s">
        <v>11</v>
      </c>
      <c r="P5" s="3" t="s">
        <v>3</v>
      </c>
      <c r="Q5" s="3" t="s">
        <v>4</v>
      </c>
      <c r="R5" s="3" t="s">
        <v>5</v>
      </c>
      <c r="S5" s="3" t="s">
        <v>6</v>
      </c>
      <c r="T5" s="2" t="s">
        <v>7</v>
      </c>
      <c r="U5" s="3" t="s">
        <v>8</v>
      </c>
      <c r="V5" s="3" t="s">
        <v>9</v>
      </c>
    </row>
    <row r="6" spans="2:22" ht="17">
      <c r="B6" s="4">
        <v>43987</v>
      </c>
      <c r="C6" s="5">
        <v>25.04664</v>
      </c>
      <c r="D6" s="5">
        <v>26.600570000000001</v>
      </c>
      <c r="E6" s="5">
        <v>0.99268160000000005</v>
      </c>
      <c r="F6" s="5">
        <v>0.6772688</v>
      </c>
      <c r="G6" s="5">
        <v>6.220618</v>
      </c>
      <c r="H6" s="5">
        <v>0.01</v>
      </c>
      <c r="I6" s="5">
        <v>2.0227750000000002</v>
      </c>
      <c r="J6" s="6">
        <v>3.277708E-2</v>
      </c>
      <c r="K6" s="7">
        <v>63</v>
      </c>
      <c r="M6" s="4">
        <v>44202</v>
      </c>
      <c r="N6" s="5">
        <v>38.050669999999997</v>
      </c>
      <c r="O6" s="5">
        <v>36.650500000000001</v>
      </c>
      <c r="P6" s="5">
        <v>0.84691470000000002</v>
      </c>
      <c r="Q6" s="5">
        <v>0.78654539999999995</v>
      </c>
      <c r="R6" s="5">
        <v>13.48127</v>
      </c>
      <c r="S6" s="5">
        <v>0.01</v>
      </c>
      <c r="T6" s="5">
        <v>-3.4663529999999998</v>
      </c>
      <c r="U6" s="6">
        <v>2.00958E-2</v>
      </c>
      <c r="V6" s="7">
        <v>62</v>
      </c>
    </row>
    <row r="8" spans="2:22" ht="19">
      <c r="B8" s="2" t="s">
        <v>2</v>
      </c>
      <c r="C8" s="3" t="s">
        <v>0</v>
      </c>
      <c r="D8" s="3" t="s">
        <v>1</v>
      </c>
      <c r="E8" s="3" t="s">
        <v>3</v>
      </c>
      <c r="F8" s="3" t="s">
        <v>4</v>
      </c>
      <c r="G8" s="3" t="s">
        <v>5</v>
      </c>
      <c r="H8" s="3" t="s">
        <v>6</v>
      </c>
      <c r="I8" s="2" t="s">
        <v>7</v>
      </c>
      <c r="J8" s="3" t="s">
        <v>8</v>
      </c>
      <c r="K8" s="3" t="s">
        <v>9</v>
      </c>
      <c r="M8" s="2" t="s">
        <v>2</v>
      </c>
      <c r="N8" s="3" t="s">
        <v>10</v>
      </c>
      <c r="O8" s="3" t="s">
        <v>11</v>
      </c>
      <c r="P8" s="3" t="s">
        <v>3</v>
      </c>
      <c r="Q8" s="3" t="s">
        <v>4</v>
      </c>
      <c r="R8" s="3" t="s">
        <v>5</v>
      </c>
      <c r="S8" s="3" t="s">
        <v>6</v>
      </c>
      <c r="T8" s="2" t="s">
        <v>7</v>
      </c>
      <c r="U8" s="3" t="s">
        <v>8</v>
      </c>
      <c r="V8" s="3" t="s">
        <v>9</v>
      </c>
    </row>
    <row r="9" spans="2:22" ht="17">
      <c r="B9" s="4">
        <v>43714</v>
      </c>
      <c r="C9" s="5">
        <v>29.210509999999999</v>
      </c>
      <c r="D9" s="5">
        <v>33.641889999999997</v>
      </c>
      <c r="E9" s="5">
        <v>0.97553279999999998</v>
      </c>
      <c r="F9" s="5">
        <v>0.71783450000000004</v>
      </c>
      <c r="G9" s="5">
        <v>4.5815859999999997</v>
      </c>
      <c r="H9" s="5">
        <v>3.1708890000000003E-2</v>
      </c>
      <c r="I9" s="5">
        <v>2.0552790000000001</v>
      </c>
      <c r="J9" s="6">
        <v>1.8339609999999999E-2</v>
      </c>
      <c r="K9" s="7">
        <v>9</v>
      </c>
      <c r="M9" s="4">
        <v>44145</v>
      </c>
      <c r="N9" s="5">
        <v>38.177340000000001</v>
      </c>
      <c r="O9" s="5">
        <v>32.81559</v>
      </c>
      <c r="P9" s="5">
        <v>0.84439580000000003</v>
      </c>
      <c r="Q9" s="5">
        <v>1.1824319999999999</v>
      </c>
      <c r="R9" s="5">
        <v>1.4747140000000001</v>
      </c>
      <c r="S9" s="5">
        <v>3.3956529999999999E-2</v>
      </c>
      <c r="T9" s="5">
        <v>-2.1641170000000001</v>
      </c>
      <c r="U9" s="6">
        <v>5.5868389999999997E-2</v>
      </c>
      <c r="V9" s="7">
        <v>3</v>
      </c>
    </row>
    <row r="10" spans="2:22" ht="17">
      <c r="B10" s="4">
        <v>43775</v>
      </c>
      <c r="C10" s="5">
        <v>30.239820000000002</v>
      </c>
      <c r="D10" s="5">
        <v>35.039270000000002</v>
      </c>
      <c r="E10" s="5">
        <v>0.97710699999999995</v>
      </c>
      <c r="F10" s="5">
        <v>0.74456500000000003</v>
      </c>
      <c r="G10" s="5">
        <v>3.6937280000000001</v>
      </c>
      <c r="H10" s="5">
        <v>0.01</v>
      </c>
      <c r="I10" s="5">
        <v>2.112981</v>
      </c>
      <c r="J10" s="6">
        <v>1.9799959999999998E-2</v>
      </c>
      <c r="K10" s="7">
        <v>15</v>
      </c>
    </row>
    <row r="11" spans="2:22" ht="17">
      <c r="B11" s="4">
        <v>43812</v>
      </c>
      <c r="C11" s="5">
        <v>30.158069999999999</v>
      </c>
      <c r="D11" s="5">
        <v>34.813369999999999</v>
      </c>
      <c r="E11" s="5">
        <v>0.95726690000000003</v>
      </c>
      <c r="F11" s="5">
        <v>0.72751719999999998</v>
      </c>
      <c r="G11" s="5">
        <v>4.3409690000000003</v>
      </c>
      <c r="H11" s="5">
        <v>0.01</v>
      </c>
      <c r="I11" s="5">
        <v>2.0966580000000001</v>
      </c>
      <c r="J11" s="6">
        <v>4.1484979999999998E-2</v>
      </c>
      <c r="K11" s="7">
        <v>57</v>
      </c>
    </row>
    <row r="12" spans="2:22" ht="17">
      <c r="B12" s="4">
        <v>43913</v>
      </c>
      <c r="C12" s="5">
        <v>19.137609999999999</v>
      </c>
      <c r="D12" s="5">
        <v>19.98441</v>
      </c>
      <c r="E12" s="5">
        <v>0.98096470000000002</v>
      </c>
      <c r="F12" s="5">
        <v>0.66277180000000002</v>
      </c>
      <c r="G12" s="5">
        <v>6.8737830000000004</v>
      </c>
      <c r="H12" s="5">
        <v>3.4413180000000002E-2</v>
      </c>
      <c r="I12" s="5">
        <v>-2.4047860000000001</v>
      </c>
      <c r="J12" s="6">
        <v>4.3290870000000002E-2</v>
      </c>
      <c r="K12" s="7">
        <v>3</v>
      </c>
    </row>
    <row r="13" spans="2:22" ht="17">
      <c r="B13" s="4">
        <v>44110</v>
      </c>
      <c r="C13" s="5">
        <v>21.031880000000001</v>
      </c>
      <c r="D13" s="5">
        <v>22.420680000000001</v>
      </c>
      <c r="E13" s="5">
        <v>0.99337209999999998</v>
      </c>
      <c r="F13" s="5">
        <v>0.79471959999999997</v>
      </c>
      <c r="G13" s="5">
        <v>3.5627960000000001</v>
      </c>
      <c r="H13" s="5">
        <v>0.01</v>
      </c>
      <c r="I13" s="5">
        <v>-2.0061659999999999</v>
      </c>
      <c r="J13" s="6">
        <v>1.2470180000000001E-2</v>
      </c>
      <c r="K13" s="7">
        <v>54</v>
      </c>
    </row>
    <row r="14" spans="2:22" ht="19">
      <c r="M14" s="2" t="s">
        <v>2</v>
      </c>
      <c r="N14" s="3" t="s">
        <v>12</v>
      </c>
      <c r="O14" s="3" t="s">
        <v>13</v>
      </c>
      <c r="P14" s="3" t="s">
        <v>3</v>
      </c>
      <c r="Q14" s="3" t="s">
        <v>4</v>
      </c>
      <c r="R14" s="3" t="s">
        <v>5</v>
      </c>
      <c r="S14" s="3" t="s">
        <v>6</v>
      </c>
      <c r="T14" s="2" t="s">
        <v>7</v>
      </c>
      <c r="U14" s="3" t="s">
        <v>8</v>
      </c>
      <c r="V14" s="3" t="s">
        <v>9</v>
      </c>
    </row>
    <row r="15" spans="2:22" ht="19">
      <c r="B15" s="2" t="s">
        <v>2</v>
      </c>
      <c r="C15" s="3" t="s">
        <v>0</v>
      </c>
      <c r="D15" s="3" t="s">
        <v>1</v>
      </c>
      <c r="E15" s="3" t="s">
        <v>3</v>
      </c>
      <c r="F15" s="3" t="s">
        <v>4</v>
      </c>
      <c r="G15" s="3" t="s">
        <v>5</v>
      </c>
      <c r="H15" s="3" t="s">
        <v>6</v>
      </c>
      <c r="I15" s="2" t="s">
        <v>7</v>
      </c>
      <c r="J15" s="3" t="s">
        <v>8</v>
      </c>
      <c r="K15" s="3" t="s">
        <v>9</v>
      </c>
      <c r="M15" s="8">
        <v>44082</v>
      </c>
      <c r="N15" s="9">
        <v>11.718170000000001</v>
      </c>
      <c r="O15" s="9">
        <v>40.46</v>
      </c>
      <c r="P15" s="9">
        <v>0.88825220000000005</v>
      </c>
      <c r="Q15" s="9">
        <v>0.71525360000000004</v>
      </c>
      <c r="R15" s="9">
        <v>-14.272169999999999</v>
      </c>
      <c r="S15" s="9">
        <v>2.4215070000000002E-2</v>
      </c>
      <c r="T15" s="9">
        <v>-2.0393729999999999</v>
      </c>
      <c r="U15" s="9">
        <v>6.124756E-2</v>
      </c>
      <c r="V15" s="9">
        <v>23</v>
      </c>
    </row>
    <row r="16" spans="2:22" ht="17">
      <c r="B16" s="4">
        <v>43669</v>
      </c>
      <c r="C16" s="5">
        <v>29.483059999999998</v>
      </c>
      <c r="D16" s="5">
        <v>35.165730000000003</v>
      </c>
      <c r="E16" s="5">
        <v>0.99676279999999995</v>
      </c>
      <c r="F16" s="5">
        <v>0.73613899999999999</v>
      </c>
      <c r="G16" s="5">
        <v>3.8453970000000002</v>
      </c>
      <c r="H16" s="5">
        <v>0.01</v>
      </c>
      <c r="I16" s="5">
        <v>-2.5916939999999999</v>
      </c>
      <c r="J16" s="6">
        <v>-1.9043860000000001E-3</v>
      </c>
      <c r="K16" s="7">
        <v>7</v>
      </c>
    </row>
    <row r="17" spans="2:22" ht="19">
      <c r="B17" s="4">
        <v>43760</v>
      </c>
      <c r="C17" s="5">
        <v>29.063120000000001</v>
      </c>
      <c r="D17" s="5">
        <v>34.335749999999997</v>
      </c>
      <c r="E17" s="5">
        <v>0.95894539999999995</v>
      </c>
      <c r="F17" s="5">
        <v>0.80503440000000004</v>
      </c>
      <c r="G17" s="5">
        <v>1.8442890000000001</v>
      </c>
      <c r="H17" s="5">
        <v>4.5692469999999999E-2</v>
      </c>
      <c r="I17" s="5">
        <v>-2.0994250000000001</v>
      </c>
      <c r="J17" s="6">
        <v>1.3475782E-2</v>
      </c>
      <c r="K17" s="7">
        <v>7</v>
      </c>
      <c r="M17" s="2" t="s">
        <v>2</v>
      </c>
      <c r="N17" s="3" t="s">
        <v>12</v>
      </c>
      <c r="O17" s="3" t="s">
        <v>13</v>
      </c>
      <c r="P17" s="3" t="s">
        <v>3</v>
      </c>
      <c r="Q17" s="3" t="s">
        <v>4</v>
      </c>
      <c r="R17" s="3" t="s">
        <v>5</v>
      </c>
      <c r="S17" s="3" t="s">
        <v>6</v>
      </c>
      <c r="T17" s="2" t="s">
        <v>7</v>
      </c>
      <c r="U17" s="3" t="s">
        <v>8</v>
      </c>
      <c r="V17" s="3" t="s">
        <v>9</v>
      </c>
    </row>
    <row r="18" spans="2:22" ht="17">
      <c r="B18" s="4">
        <v>43815</v>
      </c>
      <c r="C18" s="5">
        <v>29.632999999999999</v>
      </c>
      <c r="D18" s="5">
        <v>34.017580000000002</v>
      </c>
      <c r="E18" s="5">
        <v>0.97790169999999998</v>
      </c>
      <c r="F18" s="5">
        <v>0.81169550000000001</v>
      </c>
      <c r="G18" s="5">
        <v>1.56335</v>
      </c>
      <c r="H18" s="5">
        <v>2.776758E-2</v>
      </c>
      <c r="I18" s="5">
        <v>2.4035839999999999</v>
      </c>
      <c r="J18" s="6">
        <v>1.2100979E-2</v>
      </c>
      <c r="K18" s="7">
        <v>4</v>
      </c>
      <c r="M18" s="8">
        <v>43686</v>
      </c>
      <c r="N18" s="9">
        <v>9.5287690000000005</v>
      </c>
      <c r="O18" s="9">
        <v>30.33</v>
      </c>
      <c r="P18" s="9">
        <v>0.9788268</v>
      </c>
      <c r="Q18" s="9">
        <v>0.44043749999999998</v>
      </c>
      <c r="R18" s="9">
        <v>-3.2255500000000001</v>
      </c>
      <c r="S18" s="9">
        <v>4.603952E-2</v>
      </c>
      <c r="T18" s="9">
        <v>-2.2905679999999999</v>
      </c>
      <c r="U18" s="9">
        <v>5.2065519999999997E-2</v>
      </c>
      <c r="V18" s="9">
        <v>14</v>
      </c>
    </row>
    <row r="19" spans="2:22" ht="17">
      <c r="B19" s="4">
        <v>43853</v>
      </c>
      <c r="C19" s="5">
        <v>29.245740000000001</v>
      </c>
      <c r="D19" s="5">
        <v>33.091349999999998</v>
      </c>
      <c r="E19" s="5">
        <v>0.95558069999999995</v>
      </c>
      <c r="F19" s="5">
        <v>0.67259590000000002</v>
      </c>
      <c r="G19" s="5">
        <v>6.5478480000000001</v>
      </c>
      <c r="H19" s="5">
        <v>3.2038860000000002E-2</v>
      </c>
      <c r="I19" s="5">
        <v>2.1835420000000001</v>
      </c>
      <c r="J19" s="6">
        <v>1.2011063000000001E-2</v>
      </c>
      <c r="K19" s="7">
        <v>11</v>
      </c>
    </row>
    <row r="20" spans="2:22" ht="19">
      <c r="B20" s="4">
        <v>43872</v>
      </c>
      <c r="C20" s="5">
        <v>29.920010000000001</v>
      </c>
      <c r="D20" s="5">
        <v>33.653469999999999</v>
      </c>
      <c r="E20" s="5">
        <v>0.96371960000000001</v>
      </c>
      <c r="F20" s="5">
        <v>0.5956631</v>
      </c>
      <c r="G20" s="5">
        <v>9.2549869999999999</v>
      </c>
      <c r="H20" s="5">
        <v>3.8941990000000003E-2</v>
      </c>
      <c r="I20" s="5">
        <v>2.8033100000000002</v>
      </c>
      <c r="J20" s="6">
        <v>2.7741914999999999E-2</v>
      </c>
      <c r="K20" s="7">
        <v>9</v>
      </c>
      <c r="M20" s="2" t="s">
        <v>2</v>
      </c>
      <c r="N20" s="3" t="s">
        <v>12</v>
      </c>
      <c r="O20" s="3" t="s">
        <v>13</v>
      </c>
      <c r="P20" s="3" t="s">
        <v>3</v>
      </c>
      <c r="Q20" s="3" t="s">
        <v>4</v>
      </c>
      <c r="R20" s="3" t="s">
        <v>5</v>
      </c>
      <c r="S20" s="3" t="s">
        <v>6</v>
      </c>
      <c r="T20" s="2" t="s">
        <v>7</v>
      </c>
      <c r="U20" s="3" t="s">
        <v>8</v>
      </c>
      <c r="V20" s="3" t="s">
        <v>9</v>
      </c>
    </row>
    <row r="21" spans="2:22" ht="17">
      <c r="B21" s="4">
        <v>43906</v>
      </c>
      <c r="C21" s="5">
        <v>22.100529999999999</v>
      </c>
      <c r="D21" s="5">
        <v>23.178799999999999</v>
      </c>
      <c r="E21" s="5">
        <v>0.98933910000000003</v>
      </c>
      <c r="F21" s="5">
        <v>0.65248490000000003</v>
      </c>
      <c r="G21" s="5">
        <v>7.5693659999999996</v>
      </c>
      <c r="H21" s="5">
        <v>1.0077239999999999E-2</v>
      </c>
      <c r="I21" s="5">
        <v>-2.1844290000000002</v>
      </c>
      <c r="J21" s="6">
        <v>-1.446419E-3</v>
      </c>
      <c r="K21" s="7">
        <v>8</v>
      </c>
      <c r="M21" s="8">
        <v>44014</v>
      </c>
      <c r="N21" s="9">
        <v>11.42986</v>
      </c>
      <c r="O21" s="9">
        <v>35.54</v>
      </c>
      <c r="P21" s="9">
        <v>0.93244150000000003</v>
      </c>
      <c r="Q21" s="9">
        <v>0.76019150000000002</v>
      </c>
      <c r="R21" s="9">
        <v>-17.118259999999999</v>
      </c>
      <c r="S21" s="9">
        <v>2.229385E-2</v>
      </c>
      <c r="T21" s="9">
        <v>2.2129110000000001</v>
      </c>
      <c r="U21" s="9">
        <v>-8.578036E-2</v>
      </c>
      <c r="V21" s="9">
        <v>21</v>
      </c>
    </row>
    <row r="22" spans="2:22" ht="17">
      <c r="B22" s="4">
        <v>44000</v>
      </c>
      <c r="C22" s="5">
        <v>24.482040000000001</v>
      </c>
      <c r="D22" s="5">
        <v>26.883559999999999</v>
      </c>
      <c r="E22" s="5">
        <v>0.99125240000000003</v>
      </c>
      <c r="F22" s="5">
        <v>0.80671919999999997</v>
      </c>
      <c r="G22" s="5">
        <v>3.2920120000000002</v>
      </c>
      <c r="H22" s="5">
        <v>0.01</v>
      </c>
      <c r="I22" s="5">
        <v>-2.4787430000000001</v>
      </c>
      <c r="J22" s="6">
        <v>3.3415205000000003E-2</v>
      </c>
      <c r="K22" s="7">
        <v>1</v>
      </c>
    </row>
    <row r="23" spans="2:22" ht="17">
      <c r="B23" s="4">
        <v>44018</v>
      </c>
      <c r="C23" s="5">
        <v>24.701910000000002</v>
      </c>
      <c r="D23" s="5">
        <v>27.07516</v>
      </c>
      <c r="E23" s="5">
        <v>0.99362430000000002</v>
      </c>
      <c r="F23" s="5">
        <v>0.8059113</v>
      </c>
      <c r="G23" s="5">
        <v>3.2830590000000002</v>
      </c>
      <c r="H23" s="5">
        <v>1.6238800000000001E-2</v>
      </c>
      <c r="I23" s="5">
        <v>-2.008067</v>
      </c>
      <c r="J23" s="6">
        <v>1.6086086999999999E-2</v>
      </c>
      <c r="K23" s="7">
        <v>1</v>
      </c>
    </row>
    <row r="24" spans="2:22" ht="17">
      <c r="B24" s="4">
        <v>44085</v>
      </c>
      <c r="C24" s="5">
        <v>21.906690000000001</v>
      </c>
      <c r="D24" s="5">
        <v>23.150300000000001</v>
      </c>
      <c r="E24" s="5">
        <v>0.99406709999999998</v>
      </c>
      <c r="F24" s="5">
        <v>0.71596380000000004</v>
      </c>
      <c r="G24" s="5">
        <v>5.5713549999999996</v>
      </c>
      <c r="H24" s="5">
        <v>0.01</v>
      </c>
      <c r="I24" s="5">
        <v>-2.2271999999999998</v>
      </c>
      <c r="J24" s="6">
        <v>-1.4410021E-2</v>
      </c>
      <c r="K24" s="7">
        <v>38</v>
      </c>
    </row>
    <row r="25" spans="2:22" ht="17">
      <c r="B25" s="4">
        <v>44173</v>
      </c>
      <c r="C25" s="5">
        <v>26.28885</v>
      </c>
      <c r="D25" s="5">
        <v>29.798210000000001</v>
      </c>
      <c r="E25" s="5">
        <v>0.9988766</v>
      </c>
      <c r="F25" s="5">
        <v>0.72982400000000003</v>
      </c>
      <c r="G25" s="5">
        <v>4.7801109999999998</v>
      </c>
      <c r="H25" s="5">
        <v>0.01</v>
      </c>
      <c r="I25" s="5">
        <v>-2.474942</v>
      </c>
      <c r="J25" s="6">
        <v>1.3925290999999999E-2</v>
      </c>
      <c r="K25" s="7">
        <v>6</v>
      </c>
    </row>
    <row r="26" spans="2:22" ht="17">
      <c r="B26" s="4">
        <v>44224</v>
      </c>
      <c r="C26" s="5">
        <v>26.14846</v>
      </c>
      <c r="D26" s="5">
        <v>28.968109999999999</v>
      </c>
      <c r="E26" s="5">
        <v>0.99427929999999998</v>
      </c>
      <c r="F26" s="5">
        <v>0.73239770000000004</v>
      </c>
      <c r="G26" s="5">
        <v>4.6991370000000003</v>
      </c>
      <c r="H26" s="5">
        <v>4.0824880000000001E-2</v>
      </c>
      <c r="I26" s="5">
        <v>2.2190020000000001</v>
      </c>
      <c r="J26" s="6">
        <v>1.1903927E-2</v>
      </c>
      <c r="K26" s="7">
        <v>8</v>
      </c>
    </row>
    <row r="27" spans="2:22" ht="17">
      <c r="B27" s="4">
        <v>44322</v>
      </c>
      <c r="C27" s="5">
        <v>24.117899999999999</v>
      </c>
      <c r="D27" s="5">
        <v>27.22711</v>
      </c>
      <c r="E27" s="5">
        <v>0.98129180000000005</v>
      </c>
      <c r="F27" s="5">
        <v>0.67683899999999997</v>
      </c>
      <c r="G27" s="5">
        <v>5.9393060000000002</v>
      </c>
      <c r="H27" s="5">
        <v>0.01</v>
      </c>
      <c r="I27" s="5">
        <v>-2.4811130000000001</v>
      </c>
      <c r="J27" s="6">
        <v>1.3679728E-2</v>
      </c>
      <c r="K27" s="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9B6B-323F-2A41-B266-6CF9EAD46C1F}">
  <dimension ref="B3:F28"/>
  <sheetViews>
    <sheetView showGridLines="0" tabSelected="1" zoomScale="120" zoomScaleNormal="120" workbookViewId="0">
      <selection activeCell="I27" sqref="I27"/>
    </sheetView>
  </sheetViews>
  <sheetFormatPr baseColWidth="10" defaultRowHeight="16"/>
  <cols>
    <col min="2" max="6" width="19.5" customWidth="1"/>
    <col min="7" max="8" width="16.6640625" customWidth="1"/>
    <col min="9" max="9" width="15.83203125" bestFit="1" customWidth="1"/>
    <col min="10" max="10" width="21" bestFit="1" customWidth="1"/>
  </cols>
  <sheetData>
    <row r="3" spans="2:6">
      <c r="B3" s="10"/>
      <c r="C3" s="10"/>
      <c r="D3" s="10"/>
      <c r="E3" s="10"/>
    </row>
    <row r="4" spans="2:6" ht="19">
      <c r="B4" s="2" t="s">
        <v>14</v>
      </c>
      <c r="C4" s="3" t="s">
        <v>25</v>
      </c>
      <c r="D4" s="3" t="s">
        <v>26</v>
      </c>
      <c r="E4" s="3" t="s">
        <v>27</v>
      </c>
      <c r="F4" s="3" t="s">
        <v>31</v>
      </c>
    </row>
    <row r="5" spans="2:6" ht="19">
      <c r="B5" s="11" t="s">
        <v>15</v>
      </c>
      <c r="C5" s="15">
        <v>107.44105</v>
      </c>
      <c r="D5" s="15">
        <v>293.14280000000002</v>
      </c>
      <c r="E5" s="15">
        <v>652.0095</v>
      </c>
      <c r="F5" s="12">
        <f>C5+D5+E5</f>
        <v>1052.5933500000001</v>
      </c>
    </row>
    <row r="6" spans="2:6" ht="19">
      <c r="B6" s="11" t="s">
        <v>16</v>
      </c>
      <c r="C6" s="15">
        <v>183.36161999999999</v>
      </c>
      <c r="D6" s="15">
        <v>366.21884999999997</v>
      </c>
      <c r="E6" s="15">
        <v>500.82436000000001</v>
      </c>
      <c r="F6" s="12">
        <f>C6+D6+E6</f>
        <v>1050.4048299999999</v>
      </c>
    </row>
    <row r="7" spans="2:6" ht="19">
      <c r="B7" s="11" t="s">
        <v>17</v>
      </c>
      <c r="C7" s="15">
        <v>167.02737999999999</v>
      </c>
      <c r="D7" s="15">
        <v>240.12615</v>
      </c>
      <c r="E7" s="15">
        <v>290.01387999999997</v>
      </c>
      <c r="F7" s="12">
        <f>C7+D7+E7</f>
        <v>697.16741000000002</v>
      </c>
    </row>
    <row r="8" spans="2:6" ht="19">
      <c r="B8" s="11" t="s">
        <v>18</v>
      </c>
      <c r="C8" s="15">
        <v>135.92099999999999</v>
      </c>
      <c r="D8" s="15">
        <v>141.40974</v>
      </c>
      <c r="E8" s="15">
        <v>56.772910000000003</v>
      </c>
      <c r="F8" s="12">
        <f>C8+D8+E8</f>
        <v>334.10365000000002</v>
      </c>
    </row>
    <row r="9" spans="2:6" ht="19">
      <c r="B9" s="11" t="s">
        <v>19</v>
      </c>
      <c r="C9" s="15">
        <v>124.44392000000001</v>
      </c>
      <c r="D9" s="15">
        <v>106.00413</v>
      </c>
      <c r="E9" s="13">
        <v>-21.146719999999998</v>
      </c>
      <c r="F9" s="12">
        <f>C9+D9+E9</f>
        <v>209.30133000000004</v>
      </c>
    </row>
    <row r="10" spans="2:6" ht="19">
      <c r="B10" s="11" t="s">
        <v>20</v>
      </c>
      <c r="C10" s="15">
        <v>66.445700000000002</v>
      </c>
      <c r="D10" s="15">
        <v>78.994349999999997</v>
      </c>
      <c r="E10" s="13">
        <v>-76.268590000000003</v>
      </c>
      <c r="F10" s="12">
        <f>C10+D10+E10</f>
        <v>69.171459999999982</v>
      </c>
    </row>
    <row r="11" spans="2:6" ht="19">
      <c r="B11" s="11" t="s">
        <v>21</v>
      </c>
      <c r="C11" s="15">
        <v>52.5548</v>
      </c>
      <c r="D11" s="15">
        <v>14.18829</v>
      </c>
      <c r="E11" s="13">
        <v>-65.676550000000006</v>
      </c>
      <c r="F11" s="12">
        <f>C11+D11+E11</f>
        <v>1.0665399999999892</v>
      </c>
    </row>
    <row r="12" spans="2:6" ht="19">
      <c r="B12" s="11" t="s">
        <v>22</v>
      </c>
      <c r="C12" s="15">
        <v>40.838889999999999</v>
      </c>
      <c r="D12" s="13">
        <v>-23.802340000000001</v>
      </c>
      <c r="E12" s="13">
        <v>-56.544609999999999</v>
      </c>
      <c r="F12" s="14">
        <f>C12+D12+E12</f>
        <v>-39.50806</v>
      </c>
    </row>
    <row r="13" spans="2:6" ht="19">
      <c r="B13" s="11" t="s">
        <v>23</v>
      </c>
      <c r="C13" s="13">
        <v>-989.27000999999996</v>
      </c>
      <c r="D13" s="13">
        <v>-1406.0832</v>
      </c>
      <c r="E13" s="13">
        <v>-395.55678999999998</v>
      </c>
      <c r="F13" s="14">
        <f>C13+D13+E13</f>
        <v>-2790.9100000000003</v>
      </c>
    </row>
    <row r="14" spans="2:6" ht="19">
      <c r="B14" s="11" t="s">
        <v>24</v>
      </c>
      <c r="C14" s="14">
        <f>SUM(C5:C13)</f>
        <v>-111.23564999999996</v>
      </c>
      <c r="D14" s="14">
        <f t="shared" ref="D14:E14" si="0">SUM(D5:D13)</f>
        <v>-189.8012299999998</v>
      </c>
      <c r="E14" s="12">
        <f t="shared" si="0"/>
        <v>884.42739000000017</v>
      </c>
      <c r="F14" s="12">
        <f>C14+D14+E14</f>
        <v>583.3905100000004</v>
      </c>
    </row>
    <row r="16" spans="2:6" ht="19">
      <c r="B16" s="2" t="s">
        <v>14</v>
      </c>
      <c r="C16" s="3" t="s">
        <v>28</v>
      </c>
      <c r="D16" s="2" t="s">
        <v>29</v>
      </c>
      <c r="E16" s="3" t="s">
        <v>30</v>
      </c>
      <c r="F16" s="3" t="s">
        <v>32</v>
      </c>
    </row>
    <row r="17" spans="2:6" ht="19">
      <c r="B17" s="11" t="s">
        <v>15</v>
      </c>
      <c r="C17" s="15">
        <v>65.038420000000002</v>
      </c>
      <c r="D17" s="15">
        <v>189.13099399999999</v>
      </c>
      <c r="E17" s="15">
        <v>410.5471</v>
      </c>
      <c r="F17" s="12">
        <f>C17+D17+E17</f>
        <v>664.71651399999996</v>
      </c>
    </row>
    <row r="18" spans="2:6" ht="19">
      <c r="B18" s="11" t="s">
        <v>16</v>
      </c>
      <c r="C18" s="15">
        <v>108.76235</v>
      </c>
      <c r="D18" s="15">
        <v>234.47363100000001</v>
      </c>
      <c r="E18" s="15">
        <v>280.51918999999998</v>
      </c>
      <c r="F18" s="12">
        <f>C18+D18+E18</f>
        <v>623.75517100000002</v>
      </c>
    </row>
    <row r="19" spans="2:6" ht="19">
      <c r="B19" s="11" t="s">
        <v>17</v>
      </c>
      <c r="C19" s="15">
        <v>100.54528999999999</v>
      </c>
      <c r="D19" s="15">
        <v>169.02623600000001</v>
      </c>
      <c r="E19" s="15">
        <v>127.09807000000001</v>
      </c>
      <c r="F19" s="12">
        <f>C19+D19+E19</f>
        <v>396.66959600000001</v>
      </c>
    </row>
    <row r="20" spans="2:6" ht="19">
      <c r="B20" s="11" t="s">
        <v>18</v>
      </c>
      <c r="C20" s="15">
        <v>86.512110000000007</v>
      </c>
      <c r="D20" s="15">
        <v>111.807389</v>
      </c>
      <c r="E20" s="15">
        <v>18.778300000000002</v>
      </c>
      <c r="F20" s="12">
        <f>C20+D20+E20</f>
        <v>217.09779900000001</v>
      </c>
    </row>
    <row r="21" spans="2:6" ht="19">
      <c r="B21" s="11" t="s">
        <v>19</v>
      </c>
      <c r="C21" s="15">
        <v>72.888909999999996</v>
      </c>
      <c r="D21" s="15">
        <v>73.180627999999999</v>
      </c>
      <c r="E21" s="13">
        <v>-14.09328</v>
      </c>
      <c r="F21" s="12">
        <f>C21+D21+E21</f>
        <v>131.976258</v>
      </c>
    </row>
    <row r="22" spans="2:6" ht="19">
      <c r="B22" s="11" t="s">
        <v>20</v>
      </c>
      <c r="C22" s="15">
        <v>44.691040000000001</v>
      </c>
      <c r="D22" s="15">
        <v>55.35754</v>
      </c>
      <c r="E22" s="13">
        <v>-42.949770000000001</v>
      </c>
      <c r="F22" s="12">
        <f>C22+D22+E22</f>
        <v>57.09881</v>
      </c>
    </row>
    <row r="23" spans="2:6" ht="19">
      <c r="B23" s="11" t="s">
        <v>21</v>
      </c>
      <c r="C23" s="15">
        <v>34.24783</v>
      </c>
      <c r="D23" s="15">
        <v>25.47268</v>
      </c>
      <c r="E23" s="13">
        <v>-50.615810000000003</v>
      </c>
      <c r="F23" s="12">
        <f>C23+D23+E23</f>
        <v>9.1047000000000011</v>
      </c>
    </row>
    <row r="24" spans="2:6" ht="19">
      <c r="B24" s="11" t="s">
        <v>22</v>
      </c>
      <c r="C24" s="15">
        <v>36.017659999999999</v>
      </c>
      <c r="D24" s="15">
        <v>9.4515449999999994</v>
      </c>
      <c r="E24" s="13">
        <v>-42.008200000000002</v>
      </c>
      <c r="F24" s="12">
        <f>C24+D24+E24</f>
        <v>3.4610050000000001</v>
      </c>
    </row>
    <row r="25" spans="2:6" ht="19">
      <c r="B25" s="11" t="s">
        <v>23</v>
      </c>
      <c r="C25" s="13">
        <v>-102.2824</v>
      </c>
      <c r="D25" s="13">
        <v>-409.43607700000001</v>
      </c>
      <c r="E25" s="13">
        <v>-170.74318</v>
      </c>
      <c r="F25" s="14">
        <f>C25+D25+E25</f>
        <v>-682.46165700000006</v>
      </c>
    </row>
    <row r="26" spans="2:6" ht="19">
      <c r="B26" s="11" t="s">
        <v>24</v>
      </c>
      <c r="C26" s="12">
        <f t="shared" ref="C26" si="1">SUM(C17:C25)</f>
        <v>446.42120999999992</v>
      </c>
      <c r="D26" s="12">
        <f t="shared" ref="D26" si="2">SUM(D17:D25)</f>
        <v>458.46456599999982</v>
      </c>
      <c r="E26" s="12">
        <f t="shared" ref="E26" si="3">SUM(E17:E25)</f>
        <v>516.53242</v>
      </c>
      <c r="F26" s="12">
        <f>C26+D26+E26</f>
        <v>1421.4181959999996</v>
      </c>
    </row>
    <row r="28" spans="2:6" ht="19">
      <c r="B28" s="11" t="s">
        <v>33</v>
      </c>
      <c r="C28" s="12">
        <f>C26-C14</f>
        <v>557.65685999999982</v>
      </c>
      <c r="D28" s="12">
        <f>D26-D14</f>
        <v>648.26579599999968</v>
      </c>
      <c r="E28" s="14">
        <f>E26-E14</f>
        <v>-367.89497000000017</v>
      </c>
      <c r="F28" s="12">
        <f>F26-F14</f>
        <v>838.02768599999922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Tabelas 1</vt:lpstr>
      <vt:lpstr>Tabela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2021-08-24T01:59:12Z</dcterms:created>
  <dcterms:modified xsi:type="dcterms:W3CDTF">2021-08-31T02:07:07Z</dcterms:modified>
</cp:coreProperties>
</file>